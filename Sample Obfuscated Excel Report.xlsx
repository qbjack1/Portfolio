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B21346D-1C52-4752-A3BF-5E148E63719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ADME" sheetId="1" r:id="rId1"/>
    <sheet name="MASTER_Monthly" sheetId="2" r:id="rId2"/>
    <sheet name="REPORT_Pack" sheetId="3" r:id="rId3"/>
    <sheet name="DQ_Checks" sheetId="4" r:id="rId4"/>
    <sheet name="SQL_Bonus" sheetId="5" r:id="rId5"/>
  </sheets>
  <definedNames>
    <definedName name="Z_DF97D27D_7B05_4810_A4E7_DF4FB2041691_.wvu.FilterData" localSheetId="1" hidden="1">MASTER_Monthly!$A$10:$Z$49</definedName>
  </definedNames>
  <calcPr calcId="191029"/>
  <customWorkbookViews>
    <customWorkbookView name="Filter 1" guid="{DF97D27D-7B05-4810-A4E7-DF4FB204169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4" i="4" l="1"/>
  <c r="AG54" i="4"/>
  <c r="AC54" i="4"/>
  <c r="AB54" i="4"/>
  <c r="AA54" i="4"/>
  <c r="Z54" i="4"/>
  <c r="Y54" i="4"/>
  <c r="X54" i="4"/>
  <c r="W54" i="4"/>
  <c r="V54" i="4"/>
  <c r="S54" i="4"/>
  <c r="O54" i="4"/>
  <c r="M54" i="4"/>
  <c r="K54" i="4"/>
  <c r="I54" i="4"/>
  <c r="G54" i="4"/>
  <c r="D54" i="4"/>
  <c r="AI53" i="4"/>
  <c r="AG53" i="4"/>
  <c r="AC53" i="4"/>
  <c r="AA53" i="4"/>
  <c r="Z53" i="4"/>
  <c r="Y53" i="4"/>
  <c r="X53" i="4"/>
  <c r="AB53" i="4" s="1"/>
  <c r="W53" i="4"/>
  <c r="V53" i="4"/>
  <c r="S53" i="4"/>
  <c r="O53" i="4"/>
  <c r="M53" i="4"/>
  <c r="K53" i="4"/>
  <c r="I53" i="4"/>
  <c r="G53" i="4"/>
  <c r="D53" i="4"/>
  <c r="AI52" i="4"/>
  <c r="AG52" i="4"/>
  <c r="Y52" i="4"/>
  <c r="X52" i="4"/>
  <c r="AC52" i="4" s="1"/>
  <c r="W52" i="4"/>
  <c r="V52" i="4"/>
  <c r="S52" i="4"/>
  <c r="O52" i="4"/>
  <c r="M52" i="4"/>
  <c r="K52" i="4"/>
  <c r="I52" i="4"/>
  <c r="G52" i="4"/>
  <c r="D52" i="4"/>
  <c r="AI51" i="4"/>
  <c r="AG51" i="4"/>
  <c r="AC51" i="4"/>
  <c r="Y51" i="4"/>
  <c r="X51" i="4"/>
  <c r="AB51" i="4" s="1"/>
  <c r="W51" i="4"/>
  <c r="V51" i="4"/>
  <c r="S51" i="4"/>
  <c r="O51" i="4"/>
  <c r="M51" i="4"/>
  <c r="K51" i="4"/>
  <c r="I51" i="4"/>
  <c r="G51" i="4"/>
  <c r="D51" i="4"/>
  <c r="AI50" i="4"/>
  <c r="AG50" i="4"/>
  <c r="AC50" i="4"/>
  <c r="AB50" i="4"/>
  <c r="AA50" i="4"/>
  <c r="Z50" i="4"/>
  <c r="Y50" i="4"/>
  <c r="X50" i="4"/>
  <c r="W50" i="4"/>
  <c r="V50" i="4"/>
  <c r="S50" i="4"/>
  <c r="O50" i="4"/>
  <c r="M50" i="4"/>
  <c r="K50" i="4"/>
  <c r="I50" i="4"/>
  <c r="G50" i="4"/>
  <c r="D50" i="4"/>
  <c r="AI49" i="4"/>
  <c r="AG49" i="4"/>
  <c r="AC49" i="4"/>
  <c r="AB49" i="4"/>
  <c r="AA49" i="4"/>
  <c r="Z49" i="4"/>
  <c r="Y49" i="4"/>
  <c r="X49" i="4"/>
  <c r="W49" i="4"/>
  <c r="V49" i="4"/>
  <c r="S49" i="4"/>
  <c r="O49" i="4"/>
  <c r="M49" i="4"/>
  <c r="K49" i="4"/>
  <c r="I49" i="4"/>
  <c r="G49" i="4"/>
  <c r="D49" i="4"/>
  <c r="AI48" i="4"/>
  <c r="AG48" i="4"/>
  <c r="AC48" i="4"/>
  <c r="AB48" i="4"/>
  <c r="AA48" i="4"/>
  <c r="Z48" i="4"/>
  <c r="Y48" i="4"/>
  <c r="X48" i="4"/>
  <c r="W48" i="4"/>
  <c r="V48" i="4"/>
  <c r="S48" i="4"/>
  <c r="O48" i="4"/>
  <c r="M48" i="4"/>
  <c r="K48" i="4"/>
  <c r="I48" i="4"/>
  <c r="G48" i="4"/>
  <c r="D48" i="4"/>
  <c r="AI47" i="4"/>
  <c r="AG47" i="4"/>
  <c r="AC47" i="4"/>
  <c r="AB47" i="4"/>
  <c r="AA47" i="4"/>
  <c r="Z47" i="4"/>
  <c r="Y47" i="4"/>
  <c r="X47" i="4"/>
  <c r="W47" i="4"/>
  <c r="V47" i="4"/>
  <c r="S47" i="4"/>
  <c r="O47" i="4"/>
  <c r="M47" i="4"/>
  <c r="K47" i="4"/>
  <c r="I47" i="4"/>
  <c r="G47" i="4"/>
  <c r="D47" i="4"/>
  <c r="AI46" i="4"/>
  <c r="AG46" i="4"/>
  <c r="AC46" i="4"/>
  <c r="Z46" i="4"/>
  <c r="Y46" i="4"/>
  <c r="X46" i="4"/>
  <c r="AB46" i="4" s="1"/>
  <c r="W46" i="4"/>
  <c r="V46" i="4"/>
  <c r="S46" i="4"/>
  <c r="O46" i="4"/>
  <c r="M46" i="4"/>
  <c r="K46" i="4"/>
  <c r="I46" i="4"/>
  <c r="G46" i="4"/>
  <c r="D46" i="4"/>
  <c r="AI45" i="4"/>
  <c r="AG45" i="4"/>
  <c r="Y45" i="4"/>
  <c r="W45" i="4"/>
  <c r="V45" i="4"/>
  <c r="X45" i="4" s="1"/>
  <c r="S45" i="4"/>
  <c r="O45" i="4"/>
  <c r="M45" i="4"/>
  <c r="K45" i="4"/>
  <c r="I45" i="4"/>
  <c r="G45" i="4"/>
  <c r="D45" i="4"/>
  <c r="AI44" i="4"/>
  <c r="AG44" i="4"/>
  <c r="W44" i="4"/>
  <c r="V44" i="4"/>
  <c r="Y44" i="4" s="1"/>
  <c r="S44" i="4"/>
  <c r="O44" i="4"/>
  <c r="M44" i="4"/>
  <c r="K44" i="4"/>
  <c r="I44" i="4"/>
  <c r="G44" i="4"/>
  <c r="D44" i="4"/>
  <c r="AI43" i="4"/>
  <c r="AG43" i="4"/>
  <c r="W43" i="4"/>
  <c r="V43" i="4"/>
  <c r="Y43" i="4" s="1"/>
  <c r="S43" i="4"/>
  <c r="O43" i="4"/>
  <c r="M43" i="4"/>
  <c r="K43" i="4"/>
  <c r="I43" i="4"/>
  <c r="G43" i="4"/>
  <c r="D43" i="4"/>
  <c r="AI42" i="4"/>
  <c r="AG42" i="4"/>
  <c r="W42" i="4"/>
  <c r="V42" i="4"/>
  <c r="Y42" i="4" s="1"/>
  <c r="S42" i="4"/>
  <c r="O42" i="4"/>
  <c r="M42" i="4"/>
  <c r="K42" i="4"/>
  <c r="I42" i="4"/>
  <c r="G42" i="4"/>
  <c r="D42" i="4"/>
  <c r="AI41" i="4"/>
  <c r="AG41" i="4"/>
  <c r="Y41" i="4"/>
  <c r="W41" i="4"/>
  <c r="V41" i="4"/>
  <c r="X41" i="4" s="1"/>
  <c r="S41" i="4"/>
  <c r="O41" i="4"/>
  <c r="M41" i="4"/>
  <c r="K41" i="4"/>
  <c r="I41" i="4"/>
  <c r="G41" i="4"/>
  <c r="D41" i="4"/>
  <c r="AI40" i="4"/>
  <c r="AG40" i="4"/>
  <c r="X40" i="4"/>
  <c r="AC40" i="4" s="1"/>
  <c r="W40" i="4"/>
  <c r="V40" i="4"/>
  <c r="Y40" i="4" s="1"/>
  <c r="S40" i="4"/>
  <c r="O40" i="4"/>
  <c r="M40" i="4"/>
  <c r="K40" i="4"/>
  <c r="I40" i="4"/>
  <c r="G40" i="4"/>
  <c r="D40" i="4"/>
  <c r="AI39" i="4"/>
  <c r="AG39" i="4"/>
  <c r="Y39" i="4"/>
  <c r="W39" i="4"/>
  <c r="V39" i="4"/>
  <c r="X39" i="4" s="1"/>
  <c r="S39" i="4"/>
  <c r="O39" i="4"/>
  <c r="M39" i="4"/>
  <c r="K39" i="4"/>
  <c r="I39" i="4"/>
  <c r="G39" i="4"/>
  <c r="D39" i="4"/>
  <c r="AI38" i="4"/>
  <c r="AG38" i="4"/>
  <c r="W38" i="4"/>
  <c r="V38" i="4"/>
  <c r="Y38" i="4" s="1"/>
  <c r="S38" i="4"/>
  <c r="O38" i="4"/>
  <c r="M38" i="4"/>
  <c r="K38" i="4"/>
  <c r="I38" i="4"/>
  <c r="G38" i="4"/>
  <c r="D38" i="4"/>
  <c r="AI37" i="4"/>
  <c r="AG37" i="4"/>
  <c r="W37" i="4"/>
  <c r="V37" i="4"/>
  <c r="Y37" i="4" s="1"/>
  <c r="S37" i="4"/>
  <c r="O37" i="4"/>
  <c r="M37" i="4"/>
  <c r="K37" i="4"/>
  <c r="I37" i="4"/>
  <c r="G37" i="4"/>
  <c r="D37" i="4"/>
  <c r="AI36" i="4"/>
  <c r="AG36" i="4"/>
  <c r="AB36" i="4"/>
  <c r="Y36" i="4"/>
  <c r="X36" i="4"/>
  <c r="AC36" i="4" s="1"/>
  <c r="W36" i="4"/>
  <c r="V36" i="4"/>
  <c r="S36" i="4"/>
  <c r="O36" i="4"/>
  <c r="M36" i="4"/>
  <c r="K36" i="4"/>
  <c r="I36" i="4"/>
  <c r="G36" i="4"/>
  <c r="D36" i="4"/>
  <c r="AI35" i="4"/>
  <c r="AG35" i="4"/>
  <c r="AC35" i="4"/>
  <c r="Y35" i="4"/>
  <c r="X35" i="4"/>
  <c r="AB35" i="4" s="1"/>
  <c r="W35" i="4"/>
  <c r="V35" i="4"/>
  <c r="S35" i="4"/>
  <c r="O35" i="4"/>
  <c r="M35" i="4"/>
  <c r="K35" i="4"/>
  <c r="I35" i="4"/>
  <c r="G35" i="4"/>
  <c r="D35" i="4"/>
  <c r="AI34" i="4"/>
  <c r="AG34" i="4"/>
  <c r="Y34" i="4"/>
  <c r="W34" i="4"/>
  <c r="V34" i="4"/>
  <c r="X34" i="4" s="1"/>
  <c r="S34" i="4"/>
  <c r="O34" i="4"/>
  <c r="M34" i="4"/>
  <c r="K34" i="4"/>
  <c r="I34" i="4"/>
  <c r="G34" i="4"/>
  <c r="D34" i="4"/>
  <c r="AI33" i="4"/>
  <c r="AG33" i="4"/>
  <c r="AC33" i="4"/>
  <c r="AB33" i="4"/>
  <c r="AA33" i="4"/>
  <c r="Z33" i="4"/>
  <c r="X33" i="4"/>
  <c r="W33" i="4"/>
  <c r="V33" i="4"/>
  <c r="Y33" i="4" s="1"/>
  <c r="S33" i="4"/>
  <c r="O33" i="4"/>
  <c r="M33" i="4"/>
  <c r="K33" i="4"/>
  <c r="I33" i="4"/>
  <c r="G33" i="4"/>
  <c r="D33" i="4"/>
  <c r="AI32" i="4"/>
  <c r="AG32" i="4"/>
  <c r="AC32" i="4"/>
  <c r="AB32" i="4"/>
  <c r="AA32" i="4"/>
  <c r="Y32" i="4"/>
  <c r="X32" i="4"/>
  <c r="Z32" i="4" s="1"/>
  <c r="W32" i="4"/>
  <c r="V32" i="4"/>
  <c r="S32" i="4"/>
  <c r="O32" i="4"/>
  <c r="M32" i="4"/>
  <c r="K32" i="4"/>
  <c r="I32" i="4"/>
  <c r="G32" i="4"/>
  <c r="D32" i="4"/>
  <c r="AI31" i="4"/>
  <c r="AG31" i="4"/>
  <c r="AC31" i="4"/>
  <c r="AB31" i="4"/>
  <c r="Z31" i="4"/>
  <c r="Y31" i="4"/>
  <c r="X31" i="4"/>
  <c r="AA31" i="4" s="1"/>
  <c r="W31" i="4"/>
  <c r="V31" i="4"/>
  <c r="S31" i="4"/>
  <c r="O31" i="4"/>
  <c r="M31" i="4"/>
  <c r="K31" i="4"/>
  <c r="I31" i="4"/>
  <c r="G31" i="4"/>
  <c r="D31" i="4"/>
  <c r="AI30" i="4"/>
  <c r="AG30" i="4"/>
  <c r="AC30" i="4"/>
  <c r="AA30" i="4"/>
  <c r="Z30" i="4"/>
  <c r="Y30" i="4"/>
  <c r="X30" i="4"/>
  <c r="AB30" i="4" s="1"/>
  <c r="W30" i="4"/>
  <c r="V30" i="4"/>
  <c r="S30" i="4"/>
  <c r="O30" i="4"/>
  <c r="M30" i="4"/>
  <c r="K30" i="4"/>
  <c r="I30" i="4"/>
  <c r="G30" i="4"/>
  <c r="D30" i="4"/>
  <c r="AI29" i="4"/>
  <c r="AG29" i="4"/>
  <c r="Y29" i="4"/>
  <c r="W29" i="4"/>
  <c r="V29" i="4"/>
  <c r="X29" i="4" s="1"/>
  <c r="S29" i="4"/>
  <c r="O29" i="4"/>
  <c r="M29" i="4"/>
  <c r="K29" i="4"/>
  <c r="I29" i="4"/>
  <c r="G29" i="4"/>
  <c r="D29" i="4"/>
  <c r="AI28" i="4"/>
  <c r="AG28" i="4"/>
  <c r="AC28" i="4"/>
  <c r="AA28" i="4"/>
  <c r="Y28" i="4"/>
  <c r="W28" i="4"/>
  <c r="S28" i="4"/>
  <c r="O28" i="4"/>
  <c r="M28" i="4"/>
  <c r="K28" i="4"/>
  <c r="I28" i="4"/>
  <c r="G28" i="4"/>
  <c r="D28" i="4"/>
  <c r="AI27" i="4"/>
  <c r="AG27" i="4"/>
  <c r="AC27" i="4"/>
  <c r="AA27" i="4"/>
  <c r="Y27" i="4"/>
  <c r="W27" i="4"/>
  <c r="S27" i="4"/>
  <c r="O27" i="4"/>
  <c r="M27" i="4"/>
  <c r="K27" i="4"/>
  <c r="I27" i="4"/>
  <c r="G27" i="4"/>
  <c r="D27" i="4"/>
  <c r="AI26" i="4"/>
  <c r="AG26" i="4"/>
  <c r="AC26" i="4"/>
  <c r="AA26" i="4"/>
  <c r="Y26" i="4"/>
  <c r="W26" i="4"/>
  <c r="S26" i="4"/>
  <c r="O26" i="4"/>
  <c r="M26" i="4"/>
  <c r="K26" i="4"/>
  <c r="I26" i="4"/>
  <c r="G26" i="4"/>
  <c r="D26" i="4"/>
  <c r="AI25" i="4"/>
  <c r="AG25" i="4"/>
  <c r="AC25" i="4"/>
  <c r="AA25" i="4"/>
  <c r="Y25" i="4"/>
  <c r="W25" i="4"/>
  <c r="S25" i="4"/>
  <c r="O25" i="4"/>
  <c r="M25" i="4"/>
  <c r="K25" i="4"/>
  <c r="I25" i="4"/>
  <c r="G25" i="4"/>
  <c r="D25" i="4"/>
  <c r="AI24" i="4"/>
  <c r="AG24" i="4"/>
  <c r="AC24" i="4"/>
  <c r="AA24" i="4"/>
  <c r="Y24" i="4"/>
  <c r="W24" i="4"/>
  <c r="W10" i="4" s="1"/>
  <c r="S24" i="4"/>
  <c r="O24" i="4"/>
  <c r="M24" i="4"/>
  <c r="K24" i="4"/>
  <c r="I24" i="4"/>
  <c r="G24" i="4"/>
  <c r="D24" i="4"/>
  <c r="AI23" i="4"/>
  <c r="AG23" i="4"/>
  <c r="AC23" i="4"/>
  <c r="AA23" i="4"/>
  <c r="Y23" i="4"/>
  <c r="W23" i="4"/>
  <c r="S23" i="4"/>
  <c r="O23" i="4"/>
  <c r="M23" i="4"/>
  <c r="K23" i="4"/>
  <c r="I23" i="4"/>
  <c r="G23" i="4"/>
  <c r="D23" i="4"/>
  <c r="AI22" i="4"/>
  <c r="AG22" i="4"/>
  <c r="AC22" i="4"/>
  <c r="AA22" i="4"/>
  <c r="Y22" i="4"/>
  <c r="W22" i="4"/>
  <c r="S22" i="4"/>
  <c r="O22" i="4"/>
  <c r="M22" i="4"/>
  <c r="K22" i="4"/>
  <c r="I22" i="4"/>
  <c r="G22" i="4"/>
  <c r="D22" i="4"/>
  <c r="AI21" i="4"/>
  <c r="AG21" i="4"/>
  <c r="AC21" i="4"/>
  <c r="AA21" i="4"/>
  <c r="Y21" i="4"/>
  <c r="W21" i="4"/>
  <c r="S21" i="4"/>
  <c r="O21" i="4"/>
  <c r="M21" i="4"/>
  <c r="K21" i="4"/>
  <c r="I21" i="4"/>
  <c r="G21" i="4"/>
  <c r="D21" i="4"/>
  <c r="AI20" i="4"/>
  <c r="AG20" i="4"/>
  <c r="AC20" i="4"/>
  <c r="AA20" i="4"/>
  <c r="Y20" i="4"/>
  <c r="W20" i="4"/>
  <c r="S20" i="4"/>
  <c r="O20" i="4"/>
  <c r="M20" i="4"/>
  <c r="K20" i="4"/>
  <c r="I20" i="4"/>
  <c r="G20" i="4"/>
  <c r="D20" i="4"/>
  <c r="AI19" i="4"/>
  <c r="AG19" i="4"/>
  <c r="AC19" i="4"/>
  <c r="AA19" i="4"/>
  <c r="Y19" i="4"/>
  <c r="W19" i="4"/>
  <c r="S19" i="4"/>
  <c r="S10" i="4" s="1"/>
  <c r="S12" i="4" s="1"/>
  <c r="O19" i="4"/>
  <c r="M19" i="4"/>
  <c r="M10" i="4" s="1"/>
  <c r="K19" i="4"/>
  <c r="I19" i="4"/>
  <c r="G19" i="4"/>
  <c r="D19" i="4"/>
  <c r="AI18" i="4"/>
  <c r="AG18" i="4"/>
  <c r="AC18" i="4"/>
  <c r="AA18" i="4"/>
  <c r="Y18" i="4"/>
  <c r="W18" i="4"/>
  <c r="S18" i="4"/>
  <c r="O18" i="4"/>
  <c r="O10" i="4" s="1"/>
  <c r="O12" i="4" s="1"/>
  <c r="M18" i="4"/>
  <c r="K18" i="4"/>
  <c r="K10" i="4" s="1"/>
  <c r="I18" i="4"/>
  <c r="G18" i="4"/>
  <c r="G10" i="4" s="1"/>
  <c r="D18" i="4"/>
  <c r="AI17" i="4"/>
  <c r="AG17" i="4"/>
  <c r="AC17" i="4"/>
  <c r="AA17" i="4"/>
  <c r="Y17" i="4"/>
  <c r="W17" i="4"/>
  <c r="S17" i="4"/>
  <c r="O17" i="4"/>
  <c r="M17" i="4"/>
  <c r="K17" i="4"/>
  <c r="I17" i="4"/>
  <c r="I10" i="4" s="1"/>
  <c r="G17" i="4"/>
  <c r="D17" i="4"/>
  <c r="D10" i="4" s="1"/>
  <c r="AI16" i="4"/>
  <c r="AI10" i="4" s="1"/>
  <c r="AI12" i="4" s="1"/>
  <c r="AG16" i="4"/>
  <c r="AG10" i="4" s="1"/>
  <c r="AC16" i="4"/>
  <c r="AA16" i="4"/>
  <c r="Y16" i="4"/>
  <c r="W16" i="4"/>
  <c r="S16" i="4"/>
  <c r="O16" i="4"/>
  <c r="M16" i="4"/>
  <c r="K16" i="4"/>
  <c r="I16" i="4"/>
  <c r="G16" i="4"/>
  <c r="D16" i="4"/>
  <c r="AH10" i="4"/>
  <c r="AF10" i="4"/>
  <c r="R10" i="4"/>
  <c r="N10" i="4"/>
  <c r="L10" i="4"/>
  <c r="M12" i="4" s="1"/>
  <c r="J10" i="4"/>
  <c r="K12" i="4" s="1"/>
  <c r="H10" i="4"/>
  <c r="I12" i="4" s="1"/>
  <c r="F10" i="4"/>
  <c r="G12" i="4" s="1"/>
  <c r="C10" i="4"/>
  <c r="D12" i="4" s="1"/>
  <c r="G5" i="3"/>
  <c r="G8" i="3" s="1"/>
  <c r="F5" i="3"/>
  <c r="F8" i="3" s="1"/>
  <c r="E5" i="3"/>
  <c r="E8" i="3" s="1"/>
  <c r="D5" i="3"/>
  <c r="D8" i="3" s="1"/>
  <c r="C5" i="3"/>
  <c r="C8" i="3" s="1"/>
  <c r="B5" i="3"/>
  <c r="B8" i="3" s="1"/>
  <c r="A5" i="3"/>
  <c r="A8" i="3" s="1"/>
  <c r="AC39" i="4" l="1"/>
  <c r="AB39" i="4"/>
  <c r="Z39" i="4"/>
  <c r="AA39" i="4"/>
  <c r="Y10" i="4"/>
  <c r="AC34" i="4"/>
  <c r="AB34" i="4"/>
  <c r="AA34" i="4"/>
  <c r="Z34" i="4"/>
  <c r="AG12" i="4"/>
  <c r="AC45" i="4"/>
  <c r="AB45" i="4"/>
  <c r="AA45" i="4"/>
  <c r="Z45" i="4"/>
  <c r="AC29" i="4"/>
  <c r="AB29" i="4"/>
  <c r="AA29" i="4"/>
  <c r="Z29" i="4"/>
  <c r="AB41" i="4"/>
  <c r="AA41" i="4"/>
  <c r="Z41" i="4"/>
  <c r="AC41" i="4"/>
  <c r="AB52" i="4"/>
  <c r="X42" i="4"/>
  <c r="AA46" i="4"/>
  <c r="V10" i="4"/>
  <c r="W12" i="4" s="1"/>
  <c r="Z35" i="4"/>
  <c r="X37" i="4"/>
  <c r="Z51" i="4"/>
  <c r="AA35" i="4"/>
  <c r="Z36" i="4"/>
  <c r="X38" i="4"/>
  <c r="AA51" i="4"/>
  <c r="Z52" i="4"/>
  <c r="AA36" i="4"/>
  <c r="AA52" i="4"/>
  <c r="AA40" i="4"/>
  <c r="X43" i="4"/>
  <c r="AB40" i="4"/>
  <c r="X44" i="4"/>
  <c r="Z40" i="4"/>
  <c r="AC10" i="4" l="1"/>
  <c r="AC44" i="4"/>
  <c r="AB44" i="4"/>
  <c r="AA44" i="4"/>
  <c r="Z44" i="4"/>
  <c r="AB37" i="4"/>
  <c r="AB10" i="4" s="1"/>
  <c r="AC12" i="4" s="1"/>
  <c r="Z37" i="4"/>
  <c r="Z10" i="4" s="1"/>
  <c r="AA37" i="4"/>
  <c r="AC37" i="4"/>
  <c r="AA42" i="4"/>
  <c r="Z42" i="4"/>
  <c r="AC42" i="4"/>
  <c r="AB42" i="4"/>
  <c r="Z43" i="4"/>
  <c r="AC43" i="4"/>
  <c r="AB43" i="4"/>
  <c r="AA43" i="4"/>
  <c r="AC38" i="4"/>
  <c r="AA38" i="4"/>
  <c r="Z38" i="4"/>
  <c r="AB38" i="4"/>
  <c r="X10" i="4"/>
  <c r="Y12" i="4" s="1"/>
  <c r="AA10" i="4" l="1"/>
  <c r="AA12" i="4" s="1"/>
</calcChain>
</file>

<file path=xl/sharedStrings.xml><?xml version="1.0" encoding="utf-8"?>
<sst xmlns="http://schemas.openxmlformats.org/spreadsheetml/2006/main" count="216" uniqueCount="72">
  <si>
    <r>
      <rPr>
        <b/>
        <sz val="10"/>
        <color theme="1"/>
        <rFont val="Arial"/>
      </rPr>
      <t>Table of Contents</t>
    </r>
    <r>
      <rPr>
        <sz val="10"/>
        <color theme="1"/>
        <rFont val="Arial"/>
      </rPr>
      <t xml:space="preserve">:
- </t>
    </r>
    <r>
      <rPr>
        <b/>
        <i/>
        <sz val="10"/>
        <color rgb="FFFF6D01"/>
        <rFont val="Arial"/>
      </rPr>
      <t>MASTER_Monthly</t>
    </r>
    <r>
      <rPr>
        <sz val="10"/>
        <color theme="1"/>
        <rFont val="Arial"/>
      </rPr>
      <t xml:space="preserve"> Tab: The raw dataset to be transformed and warehoused, ready to turn into insightful reports.
- </t>
    </r>
    <r>
      <rPr>
        <b/>
        <i/>
        <sz val="10"/>
        <color rgb="FFFF6D01"/>
        <rFont val="Arial"/>
      </rPr>
      <t>REPORT_Pack</t>
    </r>
    <r>
      <rPr>
        <sz val="10"/>
        <color theme="1"/>
        <rFont val="Arial"/>
      </rPr>
      <t xml:space="preserve"> Tab: A sample report that would come out of a cleaned dataset, after the necessary data wrangling processes. This can also be done using business tools, such as Power BI or Looker Studio. </t>
    </r>
    <r>
      <rPr>
        <b/>
        <sz val="10"/>
        <color theme="1"/>
        <rFont val="Arial"/>
      </rPr>
      <t>For the purposes of highlighting the entire reporting process, I have consolidated everything in this file, including the report, instead of a BI tool.</t>
    </r>
    <r>
      <rPr>
        <sz val="10"/>
        <color theme="1"/>
        <rFont val="Arial"/>
      </rPr>
      <t xml:space="preserve">
- </t>
    </r>
    <r>
      <rPr>
        <b/>
        <i/>
        <sz val="10"/>
        <color rgb="FFFF6D01"/>
        <rFont val="Arial"/>
      </rPr>
      <t>DQ_Checks</t>
    </r>
    <r>
      <rPr>
        <sz val="10"/>
        <color theme="1"/>
        <rFont val="Arial"/>
      </rPr>
      <t xml:space="preserve"> Tab: A visual preview of a raw dataset undergoing ETL and data wrangling processes, with included quality and accuracy checks.
- </t>
    </r>
    <r>
      <rPr>
        <b/>
        <i/>
        <sz val="10"/>
        <color rgb="FFFF6D01"/>
        <rFont val="Arial"/>
      </rPr>
      <t>SQL_Bonus</t>
    </r>
    <r>
      <rPr>
        <sz val="10"/>
        <color theme="1"/>
        <rFont val="Arial"/>
      </rPr>
      <t xml:space="preserve"> Tab: A simple preview of raw SQL (Power Query) skills, if needed.
 </t>
    </r>
  </si>
  <si>
    <r>
      <rPr>
        <b/>
        <sz val="10"/>
        <color theme="1"/>
        <rFont val="Arial"/>
      </rPr>
      <t>Assumptions</t>
    </r>
    <r>
      <rPr>
        <sz val="10"/>
        <color theme="1"/>
        <rFont val="Arial"/>
      </rPr>
      <t xml:space="preserve">:
- Chose all available data ranges (aug 2024 - aug 2025) for maximum reporting potential (YoYs, YtY, YtM).
- Pullled all relevant and available data, but only pulled the parent datasets from the Ashwagandha and K2D3 entities.
- Identified "calculated fields" aka derivable values for data quality inspection. These cases have their columns color filled in light gray 1.
</t>
    </r>
  </si>
  <si>
    <r>
      <rPr>
        <b/>
        <sz val="10"/>
        <color theme="1"/>
        <rFont val="Arial"/>
      </rPr>
      <t>Judgement Calls</t>
    </r>
    <r>
      <rPr>
        <sz val="10"/>
        <color theme="1"/>
        <rFont val="Arial"/>
      </rPr>
      <t>:
- Converted "stubborn" variables into their proper datatypes for uniformity, with percentages having the most prominent cases. For example : 23.1 != 23.1% in Google Sheets standards, because 23.1% == 0.231. These cases are highlighted in bold, dark blue 3 text color. Other cases include the conversion of "AOV" values into a monetary datatype, and the restoration of values with wrong datatypes to their correct ones. For example: "Units Sold" is not a money datatype, but one that concerns supply. I simply removed the dollar signs.</t>
    </r>
  </si>
  <si>
    <r>
      <rPr>
        <b/>
        <sz val="10"/>
        <color theme="1"/>
        <rFont val="Arial"/>
      </rPr>
      <t>Data Quality Remarks</t>
    </r>
    <r>
      <rPr>
        <sz val="10"/>
        <color theme="1"/>
        <rFont val="Arial"/>
      </rPr>
      <t>:
- Issue: outright missing data. the Ashwagandha and K2D3 entities do not have the following metrics: AOV, Units Sold, Avg Units Order, UnitSes%. Solution used: Data Imputation via standard derivation formulas (shown in the DQ_Checks tab). These cases are highlighted in bold, light red berry 1 text color.
- Data Verification: standard check if the raw values are equivalent to its calculated/derived value, and to indentify mismatches. These cases have their column headers color filled in dark orange 15.</t>
    </r>
  </si>
  <si>
    <r>
      <rPr>
        <b/>
        <sz val="10"/>
        <color theme="1"/>
        <rFont val="Arial"/>
      </rPr>
      <t>Data Insights</t>
    </r>
    <r>
      <rPr>
        <sz val="10"/>
        <color theme="1"/>
        <rFont val="Arial"/>
      </rPr>
      <t xml:space="preserve">:
- 2025 has shown improvements as compared to its previous year. The overall conversion rates have been steadily increasing throughout the months, which shows a sign of increased traffic.
- July 2025 in particular has proved to be the best month, having the highest revenue, order count, sold units, and repeat share all coincide in this month.
</t>
    </r>
  </si>
  <si>
    <r>
      <rPr>
        <b/>
        <sz val="10"/>
        <color theme="1"/>
        <rFont val="Arial"/>
      </rPr>
      <t>Assumptions</t>
    </r>
    <r>
      <rPr>
        <sz val="10"/>
        <color theme="1"/>
        <rFont val="Arial"/>
      </rPr>
      <t xml:space="preserve">:
- Chose all available data ranges (aug 2024 - aug 2025) for maximum reporting potential (YoYs, YtY, YtM).
- Pullled all relevant and available data, but only pulled the parent datasets from the Ashwagandha and K2D3 entities.
- Identified "calculated fields" aka derivable values for data quality inspection. These cases have their columns color filled in light gray 1.
</t>
    </r>
  </si>
  <si>
    <t>Month</t>
  </si>
  <si>
    <t>Entity</t>
  </si>
  <si>
    <t>Total Sales</t>
  </si>
  <si>
    <t>Profit From Sales</t>
  </si>
  <si>
    <t>Profit Margin</t>
  </si>
  <si>
    <t>Overall CVR</t>
  </si>
  <si>
    <t>PPC CVR</t>
  </si>
  <si>
    <t>Organic CVR</t>
  </si>
  <si>
    <t>Total Sessions</t>
  </si>
  <si>
    <t>PPC Sessions (PPC Clicks)</t>
  </si>
  <si>
    <t>Organic Traffic</t>
  </si>
  <si>
    <t>Total Orders</t>
  </si>
  <si>
    <t>PPC Orders</t>
  </si>
  <si>
    <t>Organic Orders</t>
  </si>
  <si>
    <t>Avg Order Value</t>
  </si>
  <si>
    <t>Units Sold</t>
  </si>
  <si>
    <t>Avg Units Order</t>
  </si>
  <si>
    <t>UnitSes%</t>
  </si>
  <si>
    <t>New to Brand Sales</t>
  </si>
  <si>
    <t>Repeated sales</t>
  </si>
  <si>
    <t>%new to brand</t>
  </si>
  <si>
    <t>%repeat</t>
  </si>
  <si>
    <t>Account</t>
  </si>
  <si>
    <t>Ashwagandha</t>
  </si>
  <si>
    <t>K2D3</t>
  </si>
  <si>
    <t>Section 1 &amp; 2 - Account Summary
and Product Lines</t>
  </si>
  <si>
    <t>Timeline</t>
  </si>
  <si>
    <r>
      <rPr>
        <b/>
        <sz val="10"/>
        <color theme="1"/>
        <rFont val="Arial"/>
      </rPr>
      <t>Data Insights</t>
    </r>
    <r>
      <rPr>
        <sz val="10"/>
        <color theme="1"/>
        <rFont val="Arial"/>
      </rPr>
      <t xml:space="preserve">:
- 2025 has shown improvements as compared to its previous year. The overall conversion rates have been steadily increasing throughout the months, which shows a sign of increased traffic.
- July 2025 in particular has proved to be the best month, having the highest revenue, order count, sold units, and repeat share all coincide in this month.
</t>
    </r>
  </si>
  <si>
    <t>Profit</t>
  </si>
  <si>
    <t>Orders</t>
  </si>
  <si>
    <t>Sessions</t>
  </si>
  <si>
    <t>CVR</t>
  </si>
  <si>
    <t>AOV</t>
  </si>
  <si>
    <t>vs Prev. Month</t>
  </si>
  <si>
    <r>
      <rPr>
        <b/>
        <sz val="10"/>
        <color theme="1"/>
        <rFont val="Arial"/>
      </rPr>
      <t>Data Quality Remarks</t>
    </r>
    <r>
      <rPr>
        <sz val="10"/>
        <color theme="1"/>
        <rFont val="Arial"/>
      </rPr>
      <t>:
- Issue: outright missing data. the Ashwagandha and K2D3 entities do not have the following metrics: AOV, Units Sold, Avg Units Order, UnitSes%. Solution used: Data Imputation via standard derivation formulas (shown in the DQ_Checks tab). These cases are highlighted in bold, light red berry 1 text color.
- Data Verification: standard check if the raw values are equivalent to its calculated/derived value, and to indentify mismatches. These cases have their column headers color filled in dark orange 15.</t>
    </r>
  </si>
  <si>
    <t>Grand Total</t>
  </si>
  <si>
    <t>Difference</t>
  </si>
  <si>
    <t>Formula: new to brand sales + repeated sales</t>
  </si>
  <si>
    <t>Formula: Profit From Sales / Total Sales</t>
  </si>
  <si>
    <t>Formula: Total Orders / Total Sessions</t>
  </si>
  <si>
    <t>Formula: PPC Orders / PPC Sessions</t>
  </si>
  <si>
    <t>Formula: Organic Orders / Organic Traffic</t>
  </si>
  <si>
    <t>Formula: PPC Sessions + Organic Traffic</t>
  </si>
  <si>
    <t>Formula: PPC Orders + Organic Orders</t>
  </si>
  <si>
    <t>Formula: Total Sales / Total Orders</t>
  </si>
  <si>
    <t>Formula: Total Sales/ Avg Order Value</t>
  </si>
  <si>
    <t>Formula: Units Sold / Total Orders</t>
  </si>
  <si>
    <t>Formula: Units Sold / Total Sessions</t>
  </si>
  <si>
    <t>Formula: New to Brand Sales / Total Sales</t>
  </si>
  <si>
    <t>Formula: Repeat Sales / Total Sales</t>
  </si>
  <si>
    <t>TOTAL SALES, DQ</t>
  </si>
  <si>
    <t>PROFIT MARGIN, DQ</t>
  </si>
  <si>
    <t>OVERALL CVR, DQ</t>
  </si>
  <si>
    <t>PPC CVR, DQ</t>
  </si>
  <si>
    <t>ORGANIC CVR, DQ</t>
  </si>
  <si>
    <t>TOTAL SESSIONS, DQ</t>
  </si>
  <si>
    <t>TOTAL ORDERS, DQ</t>
  </si>
  <si>
    <t>AVG ORDER VALUE, DQ</t>
  </si>
  <si>
    <t>UNITS SOLD, DQ</t>
  </si>
  <si>
    <t>AVG UNITS ORDER, DQ</t>
  </si>
  <si>
    <t>UNITSES%, DQ</t>
  </si>
  <si>
    <t>%NEW TO BRAND, DQ</t>
  </si>
  <si>
    <t>%REPEAT, DQ</t>
  </si>
  <si>
    <t>monthly_perf (month, entity, sales, profit, profit_margin, orders, sessions)</t>
  </si>
  <si>
    <t>Exercise 1: Show sales and profit by entity for the last 6 months</t>
  </si>
  <si>
    <t>SELECT
SUM(sales), SUM(profit), entity
FROM monthly_perf
WHERE to_date(month, 'YYYY-MM') &gt;= date_trunc('month', CURRENT_DATE) - INTERVAL '6 months'
GROUP BY entity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</si>
</sst>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]#,##0.00"/>
    <numFmt numFmtId="165" formatCode="mmmm\ yyyy"/>
    <numFmt numFmtId="166" formatCode="[$$]#,##0.0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0"/>
      <color rgb="FF073763"/>
      <name val="Arial"/>
      <scheme val="minor"/>
    </font>
    <font>
      <b/>
      <sz val="10"/>
      <color theme="5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i/>
      <sz val="10"/>
      <color rgb="FFFF6D0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theme="8"/>
        <bgColor theme="8"/>
      </patternFill>
    </fill>
  </fills>
  <borders count="32"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164" fontId="1" fillId="0" borderId="0" xfId="0" applyNumberFormat="1" applyFont="1"/>
    <xf numFmtId="10" fontId="1" fillId="0" borderId="0" xfId="0" applyNumberFormat="1" applyFont="1"/>
    <xf numFmtId="0" fontId="3" fillId="0" borderId="14" xfId="0" applyFont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0" fontId="3" fillId="2" borderId="14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1" fillId="0" borderId="15" xfId="0" applyNumberFormat="1" applyFont="1" applyBorder="1"/>
    <xf numFmtId="0" fontId="1" fillId="0" borderId="16" xfId="0" applyFont="1" applyBorder="1"/>
    <xf numFmtId="164" fontId="1" fillId="2" borderId="16" xfId="0" applyNumberFormat="1" applyFont="1" applyFill="1" applyBorder="1"/>
    <xf numFmtId="164" fontId="1" fillId="0" borderId="16" xfId="0" applyNumberFormat="1" applyFont="1" applyBorder="1"/>
    <xf numFmtId="10" fontId="1" fillId="2" borderId="16" xfId="0" applyNumberFormat="1" applyFont="1" applyFill="1" applyBorder="1"/>
    <xf numFmtId="10" fontId="4" fillId="2" borderId="16" xfId="0" applyNumberFormat="1" applyFont="1" applyFill="1" applyBorder="1"/>
    <xf numFmtId="4" fontId="1" fillId="2" borderId="16" xfId="0" applyNumberFormat="1" applyFont="1" applyFill="1" applyBorder="1"/>
    <xf numFmtId="4" fontId="1" fillId="0" borderId="16" xfId="0" applyNumberFormat="1" applyFont="1" applyBorder="1"/>
    <xf numFmtId="164" fontId="4" fillId="2" borderId="16" xfId="0" applyNumberFormat="1" applyFont="1" applyFill="1" applyBorder="1"/>
    <xf numFmtId="0" fontId="1" fillId="2" borderId="16" xfId="0" applyFont="1" applyFill="1" applyBorder="1"/>
    <xf numFmtId="164" fontId="4" fillId="0" borderId="16" xfId="0" applyNumberFormat="1" applyFont="1" applyBorder="1"/>
    <xf numFmtId="10" fontId="4" fillId="2" borderId="17" xfId="0" applyNumberFormat="1" applyFont="1" applyFill="1" applyBorder="1"/>
    <xf numFmtId="164" fontId="5" fillId="3" borderId="16" xfId="0" applyNumberFormat="1" applyFont="1" applyFill="1" applyBorder="1"/>
    <xf numFmtId="0" fontId="5" fillId="3" borderId="16" xfId="0" applyFont="1" applyFill="1" applyBorder="1"/>
    <xf numFmtId="10" fontId="5" fillId="3" borderId="16" xfId="0" applyNumberFormat="1" applyFont="1" applyFill="1" applyBorder="1"/>
    <xf numFmtId="165" fontId="1" fillId="0" borderId="18" xfId="0" applyNumberFormat="1" applyFont="1" applyBorder="1"/>
    <xf numFmtId="0" fontId="1" fillId="0" borderId="19" xfId="0" applyFont="1" applyBorder="1"/>
    <xf numFmtId="164" fontId="1" fillId="2" borderId="19" xfId="0" applyNumberFormat="1" applyFont="1" applyFill="1" applyBorder="1"/>
    <xf numFmtId="164" fontId="1" fillId="0" borderId="19" xfId="0" applyNumberFormat="1" applyFont="1" applyBorder="1"/>
    <xf numFmtId="10" fontId="4" fillId="2" borderId="19" xfId="0" applyNumberFormat="1" applyFont="1" applyFill="1" applyBorder="1"/>
    <xf numFmtId="10" fontId="1" fillId="2" borderId="19" xfId="0" applyNumberFormat="1" applyFont="1" applyFill="1" applyBorder="1"/>
    <xf numFmtId="4" fontId="1" fillId="2" borderId="19" xfId="0" applyNumberFormat="1" applyFont="1" applyFill="1" applyBorder="1"/>
    <xf numFmtId="4" fontId="1" fillId="0" borderId="19" xfId="0" applyNumberFormat="1" applyFont="1" applyBorder="1"/>
    <xf numFmtId="164" fontId="5" fillId="3" borderId="19" xfId="0" applyNumberFormat="1" applyFont="1" applyFill="1" applyBorder="1"/>
    <xf numFmtId="0" fontId="5" fillId="3" borderId="19" xfId="0" applyFont="1" applyFill="1" applyBorder="1"/>
    <xf numFmtId="10" fontId="5" fillId="3" borderId="19" xfId="0" applyNumberFormat="1" applyFont="1" applyFill="1" applyBorder="1"/>
    <xf numFmtId="164" fontId="4" fillId="0" borderId="19" xfId="0" applyNumberFormat="1" applyFont="1" applyBorder="1"/>
    <xf numFmtId="10" fontId="4" fillId="2" borderId="20" xfId="0" applyNumberFormat="1" applyFont="1" applyFill="1" applyBorder="1"/>
    <xf numFmtId="0" fontId="6" fillId="4" borderId="4" xfId="0" applyFont="1" applyFill="1" applyBorder="1" applyAlignment="1">
      <alignment horizontal="center"/>
    </xf>
    <xf numFmtId="165" fontId="1" fillId="5" borderId="4" xfId="0" applyNumberFormat="1" applyFont="1" applyFill="1" applyBorder="1" applyAlignment="1">
      <alignment horizontal="center"/>
    </xf>
    <xf numFmtId="0" fontId="1" fillId="5" borderId="4" xfId="0" applyFont="1" applyFill="1" applyBorder="1"/>
    <xf numFmtId="14" fontId="1" fillId="0" borderId="0" xfId="0" applyNumberFormat="1" applyFont="1"/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" fillId="0" borderId="0" xfId="0" applyFont="1"/>
    <xf numFmtId="164" fontId="5" fillId="0" borderId="0" xfId="0" applyNumberFormat="1" applyFont="1"/>
    <xf numFmtId="166" fontId="1" fillId="0" borderId="0" xfId="0" applyNumberFormat="1" applyFont="1"/>
    <xf numFmtId="166" fontId="5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vertical="top" wrapText="1"/>
    </xf>
    <xf numFmtId="164" fontId="3" fillId="5" borderId="14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10" fontId="3" fillId="0" borderId="14" xfId="0" applyNumberFormat="1" applyFont="1" applyBorder="1" applyAlignment="1">
      <alignment horizontal="center"/>
    </xf>
    <xf numFmtId="10" fontId="1" fillId="0" borderId="16" xfId="0" applyNumberFormat="1" applyFont="1" applyBorder="1"/>
    <xf numFmtId="2" fontId="1" fillId="0" borderId="16" xfId="0" applyNumberFormat="1" applyFont="1" applyBorder="1"/>
    <xf numFmtId="10" fontId="4" fillId="0" borderId="29" xfId="0" applyNumberFormat="1" applyFont="1" applyBorder="1"/>
    <xf numFmtId="10" fontId="4" fillId="0" borderId="17" xfId="0" applyNumberFormat="1" applyFont="1" applyBorder="1"/>
    <xf numFmtId="164" fontId="5" fillId="0" borderId="16" xfId="0" applyNumberFormat="1" applyFont="1" applyBorder="1"/>
    <xf numFmtId="1" fontId="5" fillId="0" borderId="16" xfId="0" applyNumberFormat="1" applyFont="1" applyBorder="1"/>
    <xf numFmtId="0" fontId="5" fillId="0" borderId="16" xfId="0" applyFont="1" applyBorder="1"/>
    <xf numFmtId="10" fontId="5" fillId="0" borderId="16" xfId="0" applyNumberFormat="1" applyFont="1" applyBorder="1"/>
    <xf numFmtId="10" fontId="4" fillId="0" borderId="20" xfId="0" applyNumberFormat="1" applyFont="1" applyBorder="1"/>
    <xf numFmtId="0" fontId="1" fillId="3" borderId="0" xfId="0" applyFont="1" applyFill="1"/>
    <xf numFmtId="0" fontId="1" fillId="0" borderId="6" xfId="0" applyFont="1" applyBorder="1" applyAlignment="1">
      <alignment vertical="top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0" xfId="0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10" fontId="1" fillId="0" borderId="24" xfId="0" applyNumberFormat="1" applyFont="1" applyBorder="1" applyAlignment="1">
      <alignment horizontal="center" vertical="center"/>
    </xf>
    <xf numFmtId="0" fontId="2" fillId="0" borderId="24" xfId="0" applyFont="1" applyBorder="1"/>
    <xf numFmtId="164" fontId="1" fillId="0" borderId="10" xfId="0" applyNumberFormat="1" applyFont="1" applyBorder="1" applyAlignment="1">
      <alignment horizontal="center" vertical="center"/>
    </xf>
    <xf numFmtId="0" fontId="2" fillId="0" borderId="28" xfId="0" applyFont="1" applyBorder="1"/>
    <xf numFmtId="10" fontId="1" fillId="0" borderId="9" xfId="0" applyNumberFormat="1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0" fontId="1" fillId="0" borderId="1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31" xfId="0" applyFont="1" applyBorder="1" applyAlignment="1">
      <alignment vertical="top" wrapText="1"/>
    </xf>
  </cellXfs>
  <cellStyles count="1">
    <cellStyle name="Normal" xfId="0" builtinId="0"/>
  </cellStyles>
  <dxfs count="30"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  <dxf>
      <font>
        <color rgb="FF274E13"/>
      </font>
      <fill>
        <patternFill patternType="solid">
          <fgColor rgb="FFB7E1CD"/>
          <bgColor rgb="FFB7E1CD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PH"/>
              <a:t>Section 3 - Trend Chart (Sales vs Profit)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MASTER_Monthly!$C$10</c:f>
              <c:strCache>
                <c:ptCount val="1"/>
                <c:pt idx="0">
                  <c:v>Total Sales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MASTER_Monthly!$A$11:$A$47</c:f>
              <c:numCache>
                <c:formatCode>mmmm\ yyyy</c:formatCode>
                <c:ptCount val="37"/>
                <c:pt idx="0">
                  <c:v>45505</c:v>
                </c:pt>
                <c:pt idx="1">
                  <c:v>45505</c:v>
                </c:pt>
                <c:pt idx="2">
                  <c:v>45505</c:v>
                </c:pt>
                <c:pt idx="3">
                  <c:v>45536</c:v>
                </c:pt>
                <c:pt idx="4">
                  <c:v>45536</c:v>
                </c:pt>
                <c:pt idx="5">
                  <c:v>45536</c:v>
                </c:pt>
                <c:pt idx="6">
                  <c:v>45566</c:v>
                </c:pt>
                <c:pt idx="7">
                  <c:v>45566</c:v>
                </c:pt>
                <c:pt idx="8">
                  <c:v>45566</c:v>
                </c:pt>
                <c:pt idx="9">
                  <c:v>45597</c:v>
                </c:pt>
                <c:pt idx="10">
                  <c:v>45597</c:v>
                </c:pt>
                <c:pt idx="11">
                  <c:v>45597</c:v>
                </c:pt>
                <c:pt idx="12">
                  <c:v>45627</c:v>
                </c:pt>
                <c:pt idx="13">
                  <c:v>45627</c:v>
                </c:pt>
                <c:pt idx="14">
                  <c:v>45627</c:v>
                </c:pt>
                <c:pt idx="15">
                  <c:v>45658</c:v>
                </c:pt>
                <c:pt idx="16">
                  <c:v>45658</c:v>
                </c:pt>
                <c:pt idx="17">
                  <c:v>45658</c:v>
                </c:pt>
                <c:pt idx="18">
                  <c:v>45689</c:v>
                </c:pt>
                <c:pt idx="19">
                  <c:v>45689</c:v>
                </c:pt>
                <c:pt idx="20">
                  <c:v>45689</c:v>
                </c:pt>
                <c:pt idx="21">
                  <c:v>45717</c:v>
                </c:pt>
                <c:pt idx="22">
                  <c:v>45717</c:v>
                </c:pt>
                <c:pt idx="23">
                  <c:v>45717</c:v>
                </c:pt>
                <c:pt idx="24">
                  <c:v>45748</c:v>
                </c:pt>
                <c:pt idx="25">
                  <c:v>45748</c:v>
                </c:pt>
                <c:pt idx="26">
                  <c:v>45748</c:v>
                </c:pt>
                <c:pt idx="27">
                  <c:v>45778</c:v>
                </c:pt>
                <c:pt idx="28">
                  <c:v>45778</c:v>
                </c:pt>
                <c:pt idx="29">
                  <c:v>45778</c:v>
                </c:pt>
                <c:pt idx="30">
                  <c:v>45809</c:v>
                </c:pt>
                <c:pt idx="31">
                  <c:v>45809</c:v>
                </c:pt>
                <c:pt idx="32">
                  <c:v>45809</c:v>
                </c:pt>
                <c:pt idx="33">
                  <c:v>45839</c:v>
                </c:pt>
                <c:pt idx="34">
                  <c:v>45839</c:v>
                </c:pt>
                <c:pt idx="35">
                  <c:v>45839</c:v>
                </c:pt>
                <c:pt idx="36">
                  <c:v>45870</c:v>
                </c:pt>
              </c:numCache>
            </c:numRef>
          </c:cat>
          <c:val>
            <c:numRef>
              <c:f>MASTER_Monthly!$C$11:$C$47</c:f>
              <c:numCache>
                <c:formatCode>[$$]#,##0.00</c:formatCode>
                <c:ptCount val="37"/>
                <c:pt idx="0">
                  <c:v>921287</c:v>
                </c:pt>
                <c:pt idx="1">
                  <c:v>157936</c:v>
                </c:pt>
                <c:pt idx="2">
                  <c:v>73428</c:v>
                </c:pt>
                <c:pt idx="3">
                  <c:v>948029</c:v>
                </c:pt>
                <c:pt idx="4">
                  <c:v>153828</c:v>
                </c:pt>
                <c:pt idx="5">
                  <c:v>94601</c:v>
                </c:pt>
                <c:pt idx="6">
                  <c:v>993750</c:v>
                </c:pt>
                <c:pt idx="7">
                  <c:v>162480</c:v>
                </c:pt>
                <c:pt idx="8">
                  <c:v>117918</c:v>
                </c:pt>
                <c:pt idx="9">
                  <c:v>1022469</c:v>
                </c:pt>
                <c:pt idx="10">
                  <c:v>158885</c:v>
                </c:pt>
                <c:pt idx="11">
                  <c:v>114352</c:v>
                </c:pt>
                <c:pt idx="12">
                  <c:v>961094</c:v>
                </c:pt>
                <c:pt idx="13">
                  <c:v>144048</c:v>
                </c:pt>
                <c:pt idx="14">
                  <c:v>142328</c:v>
                </c:pt>
                <c:pt idx="15">
                  <c:v>1255515</c:v>
                </c:pt>
                <c:pt idx="16">
                  <c:v>200911</c:v>
                </c:pt>
                <c:pt idx="17">
                  <c:v>190536</c:v>
                </c:pt>
                <c:pt idx="18">
                  <c:v>1140886</c:v>
                </c:pt>
                <c:pt idx="19">
                  <c:v>171789</c:v>
                </c:pt>
                <c:pt idx="20">
                  <c:v>158359</c:v>
                </c:pt>
                <c:pt idx="21">
                  <c:v>1171220</c:v>
                </c:pt>
                <c:pt idx="22">
                  <c:v>160501</c:v>
                </c:pt>
                <c:pt idx="23">
                  <c:v>141353</c:v>
                </c:pt>
                <c:pt idx="24">
                  <c:v>1148444</c:v>
                </c:pt>
                <c:pt idx="25">
                  <c:v>145519</c:v>
                </c:pt>
                <c:pt idx="26">
                  <c:v>121332</c:v>
                </c:pt>
                <c:pt idx="27">
                  <c:v>1231499</c:v>
                </c:pt>
                <c:pt idx="28">
                  <c:v>150656</c:v>
                </c:pt>
                <c:pt idx="29">
                  <c:v>103973</c:v>
                </c:pt>
                <c:pt idx="30">
                  <c:v>1153194</c:v>
                </c:pt>
                <c:pt idx="31">
                  <c:v>148763</c:v>
                </c:pt>
                <c:pt idx="32">
                  <c:v>100459</c:v>
                </c:pt>
                <c:pt idx="33">
                  <c:v>1420531</c:v>
                </c:pt>
                <c:pt idx="34">
                  <c:v>175649</c:v>
                </c:pt>
                <c:pt idx="35">
                  <c:v>141728</c:v>
                </c:pt>
                <c:pt idx="36">
                  <c:v>1359264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4-435E-8A9B-39A0356323A0}"/>
            </c:ext>
          </c:extLst>
        </c:ser>
        <c:ser>
          <c:idx val="1"/>
          <c:order val="1"/>
          <c:tx>
            <c:strRef>
              <c:f>MASTER_Monthly!$D$10</c:f>
              <c:strCache>
                <c:ptCount val="1"/>
                <c:pt idx="0">
                  <c:v>Profit From Sales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MASTER_Monthly!$A$11:$A$47</c:f>
              <c:numCache>
                <c:formatCode>mmmm\ yyyy</c:formatCode>
                <c:ptCount val="37"/>
                <c:pt idx="0">
                  <c:v>45505</c:v>
                </c:pt>
                <c:pt idx="1">
                  <c:v>45505</c:v>
                </c:pt>
                <c:pt idx="2">
                  <c:v>45505</c:v>
                </c:pt>
                <c:pt idx="3">
                  <c:v>45536</c:v>
                </c:pt>
                <c:pt idx="4">
                  <c:v>45536</c:v>
                </c:pt>
                <c:pt idx="5">
                  <c:v>45536</c:v>
                </c:pt>
                <c:pt idx="6">
                  <c:v>45566</c:v>
                </c:pt>
                <c:pt idx="7">
                  <c:v>45566</c:v>
                </c:pt>
                <c:pt idx="8">
                  <c:v>45566</c:v>
                </c:pt>
                <c:pt idx="9">
                  <c:v>45597</c:v>
                </c:pt>
                <c:pt idx="10">
                  <c:v>45597</c:v>
                </c:pt>
                <c:pt idx="11">
                  <c:v>45597</c:v>
                </c:pt>
                <c:pt idx="12">
                  <c:v>45627</c:v>
                </c:pt>
                <c:pt idx="13">
                  <c:v>45627</c:v>
                </c:pt>
                <c:pt idx="14">
                  <c:v>45627</c:v>
                </c:pt>
                <c:pt idx="15">
                  <c:v>45658</c:v>
                </c:pt>
                <c:pt idx="16">
                  <c:v>45658</c:v>
                </c:pt>
                <c:pt idx="17">
                  <c:v>45658</c:v>
                </c:pt>
                <c:pt idx="18">
                  <c:v>45689</c:v>
                </c:pt>
                <c:pt idx="19">
                  <c:v>45689</c:v>
                </c:pt>
                <c:pt idx="20">
                  <c:v>45689</c:v>
                </c:pt>
                <c:pt idx="21">
                  <c:v>45717</c:v>
                </c:pt>
                <c:pt idx="22">
                  <c:v>45717</c:v>
                </c:pt>
                <c:pt idx="23">
                  <c:v>45717</c:v>
                </c:pt>
                <c:pt idx="24">
                  <c:v>45748</c:v>
                </c:pt>
                <c:pt idx="25">
                  <c:v>45748</c:v>
                </c:pt>
                <c:pt idx="26">
                  <c:v>45748</c:v>
                </c:pt>
                <c:pt idx="27">
                  <c:v>45778</c:v>
                </c:pt>
                <c:pt idx="28">
                  <c:v>45778</c:v>
                </c:pt>
                <c:pt idx="29">
                  <c:v>45778</c:v>
                </c:pt>
                <c:pt idx="30">
                  <c:v>45809</c:v>
                </c:pt>
                <c:pt idx="31">
                  <c:v>45809</c:v>
                </c:pt>
                <c:pt idx="32">
                  <c:v>45809</c:v>
                </c:pt>
                <c:pt idx="33">
                  <c:v>45839</c:v>
                </c:pt>
                <c:pt idx="34">
                  <c:v>45839</c:v>
                </c:pt>
                <c:pt idx="35">
                  <c:v>45839</c:v>
                </c:pt>
                <c:pt idx="36">
                  <c:v>45870</c:v>
                </c:pt>
              </c:numCache>
            </c:numRef>
          </c:cat>
          <c:val>
            <c:numRef>
              <c:f>MASTER_Monthly!$D$11:$D$47</c:f>
              <c:numCache>
                <c:formatCode>[$$]#,##0.00</c:formatCode>
                <c:ptCount val="37"/>
                <c:pt idx="0">
                  <c:v>212777</c:v>
                </c:pt>
                <c:pt idx="1">
                  <c:v>34841</c:v>
                </c:pt>
                <c:pt idx="2">
                  <c:v>14579</c:v>
                </c:pt>
                <c:pt idx="3">
                  <c:v>197946</c:v>
                </c:pt>
                <c:pt idx="4">
                  <c:v>30441</c:v>
                </c:pt>
                <c:pt idx="5">
                  <c:v>18329</c:v>
                </c:pt>
                <c:pt idx="6">
                  <c:v>183147</c:v>
                </c:pt>
                <c:pt idx="7">
                  <c:v>28164</c:v>
                </c:pt>
                <c:pt idx="8">
                  <c:v>19809</c:v>
                </c:pt>
                <c:pt idx="9">
                  <c:v>170017</c:v>
                </c:pt>
                <c:pt idx="10">
                  <c:v>26311</c:v>
                </c:pt>
                <c:pt idx="11">
                  <c:v>19650</c:v>
                </c:pt>
                <c:pt idx="12">
                  <c:v>224070</c:v>
                </c:pt>
                <c:pt idx="13">
                  <c:v>29089</c:v>
                </c:pt>
                <c:pt idx="14">
                  <c:v>30277</c:v>
                </c:pt>
                <c:pt idx="15">
                  <c:v>311215</c:v>
                </c:pt>
                <c:pt idx="16">
                  <c:v>38753</c:v>
                </c:pt>
                <c:pt idx="17">
                  <c:v>41162</c:v>
                </c:pt>
                <c:pt idx="18">
                  <c:v>273131</c:v>
                </c:pt>
                <c:pt idx="19">
                  <c:v>33744</c:v>
                </c:pt>
                <c:pt idx="20">
                  <c:v>32689</c:v>
                </c:pt>
                <c:pt idx="21">
                  <c:v>327361</c:v>
                </c:pt>
                <c:pt idx="22">
                  <c:v>50164</c:v>
                </c:pt>
                <c:pt idx="23">
                  <c:v>44004</c:v>
                </c:pt>
                <c:pt idx="24">
                  <c:v>301006</c:v>
                </c:pt>
                <c:pt idx="25">
                  <c:v>35234</c:v>
                </c:pt>
                <c:pt idx="26">
                  <c:v>26611</c:v>
                </c:pt>
                <c:pt idx="27">
                  <c:v>322128</c:v>
                </c:pt>
                <c:pt idx="28">
                  <c:v>34523</c:v>
                </c:pt>
                <c:pt idx="29">
                  <c:v>24585</c:v>
                </c:pt>
                <c:pt idx="30">
                  <c:v>287063</c:v>
                </c:pt>
                <c:pt idx="31">
                  <c:v>30594</c:v>
                </c:pt>
                <c:pt idx="32">
                  <c:v>19635</c:v>
                </c:pt>
                <c:pt idx="33">
                  <c:v>334195</c:v>
                </c:pt>
                <c:pt idx="34">
                  <c:v>41857</c:v>
                </c:pt>
                <c:pt idx="35">
                  <c:v>29887</c:v>
                </c:pt>
                <c:pt idx="36">
                  <c:v>320874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4-435E-8A9B-39A035632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66050595"/>
        <c:axId val="1117660253"/>
      </c:areaChart>
      <c:dateAx>
        <c:axId val="20660505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m\ yyyy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60253"/>
        <c:crosses val="autoZero"/>
        <c:auto val="1"/>
        <c:lblOffset val="100"/>
        <c:baseTimeUnit val="days"/>
      </c:dateAx>
      <c:valAx>
        <c:axId val="111766025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505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Section 4 - Product Mix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MASTER_Monthly!$C$10</c:f>
              <c:strCache>
                <c:ptCount val="1"/>
                <c:pt idx="0">
                  <c:v>Total 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D139-4698-8C9A-AACACB2493F2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MASTER_Monthly!$A$11:$B$49</c:f>
              <c:multiLvlStrCache>
                <c:ptCount val="39"/>
                <c:lvl>
                  <c:pt idx="0">
                    <c:v>Account</c:v>
                  </c:pt>
                  <c:pt idx="1">
                    <c:v>Ashwagandha</c:v>
                  </c:pt>
                  <c:pt idx="2">
                    <c:v>K2D3</c:v>
                  </c:pt>
                  <c:pt idx="3">
                    <c:v>Account</c:v>
                  </c:pt>
                  <c:pt idx="4">
                    <c:v>Ashwagandha</c:v>
                  </c:pt>
                  <c:pt idx="5">
                    <c:v>K2D3</c:v>
                  </c:pt>
                  <c:pt idx="6">
                    <c:v>Account</c:v>
                  </c:pt>
                  <c:pt idx="7">
                    <c:v>Ashwagandha</c:v>
                  </c:pt>
                  <c:pt idx="8">
                    <c:v>K2D3</c:v>
                  </c:pt>
                  <c:pt idx="9">
                    <c:v>Account</c:v>
                  </c:pt>
                  <c:pt idx="10">
                    <c:v>Ashwagandha</c:v>
                  </c:pt>
                  <c:pt idx="11">
                    <c:v>K2D3</c:v>
                  </c:pt>
                  <c:pt idx="12">
                    <c:v>Account</c:v>
                  </c:pt>
                  <c:pt idx="13">
                    <c:v>Ashwagandha</c:v>
                  </c:pt>
                  <c:pt idx="14">
                    <c:v>K2D3</c:v>
                  </c:pt>
                  <c:pt idx="15">
                    <c:v>Account</c:v>
                  </c:pt>
                  <c:pt idx="16">
                    <c:v>Ashwagandha</c:v>
                  </c:pt>
                  <c:pt idx="17">
                    <c:v>K2D3</c:v>
                  </c:pt>
                  <c:pt idx="18">
                    <c:v>Account</c:v>
                  </c:pt>
                  <c:pt idx="19">
                    <c:v>Ashwagandha</c:v>
                  </c:pt>
                  <c:pt idx="20">
                    <c:v>K2D3</c:v>
                  </c:pt>
                  <c:pt idx="21">
                    <c:v>Account</c:v>
                  </c:pt>
                  <c:pt idx="22">
                    <c:v>Ashwagandha</c:v>
                  </c:pt>
                  <c:pt idx="23">
                    <c:v>K2D3</c:v>
                  </c:pt>
                  <c:pt idx="24">
                    <c:v>Account</c:v>
                  </c:pt>
                  <c:pt idx="25">
                    <c:v>Ashwagandha</c:v>
                  </c:pt>
                  <c:pt idx="26">
                    <c:v>K2D3</c:v>
                  </c:pt>
                  <c:pt idx="27">
                    <c:v>Account</c:v>
                  </c:pt>
                  <c:pt idx="28">
                    <c:v>Ashwagandha</c:v>
                  </c:pt>
                  <c:pt idx="29">
                    <c:v>K2D3</c:v>
                  </c:pt>
                  <c:pt idx="30">
                    <c:v>Account</c:v>
                  </c:pt>
                  <c:pt idx="31">
                    <c:v>Ashwagandha</c:v>
                  </c:pt>
                  <c:pt idx="32">
                    <c:v>K2D3</c:v>
                  </c:pt>
                  <c:pt idx="33">
                    <c:v>Account</c:v>
                  </c:pt>
                  <c:pt idx="34">
                    <c:v>Ashwagandha</c:v>
                  </c:pt>
                  <c:pt idx="35">
                    <c:v>K2D3</c:v>
                  </c:pt>
                  <c:pt idx="36">
                    <c:v>Account</c:v>
                  </c:pt>
                  <c:pt idx="37">
                    <c:v>Ashwagandha</c:v>
                  </c:pt>
                  <c:pt idx="38">
                    <c:v>K2D3</c:v>
                  </c:pt>
                </c:lvl>
                <c:lvl>
                  <c:pt idx="0">
                    <c:v>August 2024</c:v>
                  </c:pt>
                  <c:pt idx="1">
                    <c:v>August 2024</c:v>
                  </c:pt>
                  <c:pt idx="2">
                    <c:v>August 2024</c:v>
                  </c:pt>
                  <c:pt idx="3">
                    <c:v>September 2024</c:v>
                  </c:pt>
                  <c:pt idx="4">
                    <c:v>September 2024</c:v>
                  </c:pt>
                  <c:pt idx="5">
                    <c:v>September 2024</c:v>
                  </c:pt>
                  <c:pt idx="6">
                    <c:v>October 2024</c:v>
                  </c:pt>
                  <c:pt idx="7">
                    <c:v>October 2024</c:v>
                  </c:pt>
                  <c:pt idx="8">
                    <c:v>October 2024</c:v>
                  </c:pt>
                  <c:pt idx="9">
                    <c:v>November 2024</c:v>
                  </c:pt>
                  <c:pt idx="10">
                    <c:v>November 2024</c:v>
                  </c:pt>
                  <c:pt idx="11">
                    <c:v>November 2024</c:v>
                  </c:pt>
                  <c:pt idx="12">
                    <c:v>December 2024</c:v>
                  </c:pt>
                  <c:pt idx="13">
                    <c:v>December 2024</c:v>
                  </c:pt>
                  <c:pt idx="14">
                    <c:v>December 2024</c:v>
                  </c:pt>
                  <c:pt idx="15">
                    <c:v>January 2025</c:v>
                  </c:pt>
                  <c:pt idx="16">
                    <c:v>January 2025</c:v>
                  </c:pt>
                  <c:pt idx="17">
                    <c:v>January 2025</c:v>
                  </c:pt>
                  <c:pt idx="18">
                    <c:v>February 2025</c:v>
                  </c:pt>
                  <c:pt idx="19">
                    <c:v>February 2025</c:v>
                  </c:pt>
                  <c:pt idx="20">
                    <c:v>February 2025</c:v>
                  </c:pt>
                  <c:pt idx="21">
                    <c:v>March 2025</c:v>
                  </c:pt>
                  <c:pt idx="22">
                    <c:v>March 2025</c:v>
                  </c:pt>
                  <c:pt idx="23">
                    <c:v>March 2025</c:v>
                  </c:pt>
                  <c:pt idx="24">
                    <c:v>April 2025</c:v>
                  </c:pt>
                  <c:pt idx="25">
                    <c:v>April 2025</c:v>
                  </c:pt>
                  <c:pt idx="26">
                    <c:v>April 2025</c:v>
                  </c:pt>
                  <c:pt idx="27">
                    <c:v>May 2025</c:v>
                  </c:pt>
                  <c:pt idx="28">
                    <c:v>May 2025</c:v>
                  </c:pt>
                  <c:pt idx="29">
                    <c:v>May 2025</c:v>
                  </c:pt>
                  <c:pt idx="30">
                    <c:v>June 2025</c:v>
                  </c:pt>
                  <c:pt idx="31">
                    <c:v>June 2025</c:v>
                  </c:pt>
                  <c:pt idx="32">
                    <c:v>June 2025</c:v>
                  </c:pt>
                  <c:pt idx="33">
                    <c:v>July 2025</c:v>
                  </c:pt>
                  <c:pt idx="34">
                    <c:v>July 2025</c:v>
                  </c:pt>
                  <c:pt idx="35">
                    <c:v>July 2025</c:v>
                  </c:pt>
                  <c:pt idx="36">
                    <c:v>August 2025</c:v>
                  </c:pt>
                  <c:pt idx="37">
                    <c:v>August 2025</c:v>
                  </c:pt>
                  <c:pt idx="38">
                    <c:v>August 2025</c:v>
                  </c:pt>
                </c:lvl>
              </c:multiLvlStrCache>
            </c:multiLvlStrRef>
          </c:cat>
          <c:val>
            <c:numRef>
              <c:f>MASTER_Monthly!$C$11:$C$49</c:f>
              <c:numCache>
                <c:formatCode>[$$]#,##0.00</c:formatCode>
                <c:ptCount val="39"/>
                <c:pt idx="0">
                  <c:v>921287</c:v>
                </c:pt>
                <c:pt idx="1">
                  <c:v>157936</c:v>
                </c:pt>
                <c:pt idx="2">
                  <c:v>73428</c:v>
                </c:pt>
                <c:pt idx="3">
                  <c:v>948029</c:v>
                </c:pt>
                <c:pt idx="4">
                  <c:v>153828</c:v>
                </c:pt>
                <c:pt idx="5">
                  <c:v>94601</c:v>
                </c:pt>
                <c:pt idx="6">
                  <c:v>993750</c:v>
                </c:pt>
                <c:pt idx="7">
                  <c:v>162480</c:v>
                </c:pt>
                <c:pt idx="8">
                  <c:v>117918</c:v>
                </c:pt>
                <c:pt idx="9">
                  <c:v>1022469</c:v>
                </c:pt>
                <c:pt idx="10">
                  <c:v>158885</c:v>
                </c:pt>
                <c:pt idx="11">
                  <c:v>114352</c:v>
                </c:pt>
                <c:pt idx="12">
                  <c:v>961094</c:v>
                </c:pt>
                <c:pt idx="13">
                  <c:v>144048</c:v>
                </c:pt>
                <c:pt idx="14">
                  <c:v>142328</c:v>
                </c:pt>
                <c:pt idx="15">
                  <c:v>1255515</c:v>
                </c:pt>
                <c:pt idx="16">
                  <c:v>200911</c:v>
                </c:pt>
                <c:pt idx="17">
                  <c:v>190536</c:v>
                </c:pt>
                <c:pt idx="18">
                  <c:v>1140886</c:v>
                </c:pt>
                <c:pt idx="19">
                  <c:v>171789</c:v>
                </c:pt>
                <c:pt idx="20">
                  <c:v>158359</c:v>
                </c:pt>
                <c:pt idx="21">
                  <c:v>1171220</c:v>
                </c:pt>
                <c:pt idx="22">
                  <c:v>160501</c:v>
                </c:pt>
                <c:pt idx="23">
                  <c:v>141353</c:v>
                </c:pt>
                <c:pt idx="24">
                  <c:v>1148444</c:v>
                </c:pt>
                <c:pt idx="25">
                  <c:v>145519</c:v>
                </c:pt>
                <c:pt idx="26">
                  <c:v>121332</c:v>
                </c:pt>
                <c:pt idx="27">
                  <c:v>1231499</c:v>
                </c:pt>
                <c:pt idx="28">
                  <c:v>150656</c:v>
                </c:pt>
                <c:pt idx="29">
                  <c:v>103973</c:v>
                </c:pt>
                <c:pt idx="30">
                  <c:v>1153194</c:v>
                </c:pt>
                <c:pt idx="31">
                  <c:v>148763</c:v>
                </c:pt>
                <c:pt idx="32">
                  <c:v>100459</c:v>
                </c:pt>
                <c:pt idx="33">
                  <c:v>1420531</c:v>
                </c:pt>
                <c:pt idx="34">
                  <c:v>175649</c:v>
                </c:pt>
                <c:pt idx="35">
                  <c:v>141728</c:v>
                </c:pt>
                <c:pt idx="36">
                  <c:v>1359264</c:v>
                </c:pt>
                <c:pt idx="37">
                  <c:v>138402</c:v>
                </c:pt>
                <c:pt idx="38">
                  <c:v>115497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9-4698-8C9A-AACACB2493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1311133"/>
        <c:axId val="197880305"/>
      </c:barChart>
      <c:catAx>
        <c:axId val="104131113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80305"/>
        <c:crosses val="autoZero"/>
        <c:auto val="1"/>
        <c:lblAlgn val="ctr"/>
        <c:lblOffset val="100"/>
        <c:noMultiLvlLbl val="1"/>
      </c:catAx>
      <c:valAx>
        <c:axId val="1978803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111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11</xdr:row>
      <xdr:rowOff>171450</xdr:rowOff>
    </xdr:from>
    <xdr:ext cx="8458200" cy="52292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942975</xdr:colOff>
      <xdr:row>11</xdr:row>
      <xdr:rowOff>171450</xdr:rowOff>
    </xdr:from>
    <xdr:ext cx="10506075" cy="52292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9" sqref="E9"/>
    </sheetView>
  </sheetViews>
  <sheetFormatPr defaultColWidth="12.5703125" defaultRowHeight="12.75" x14ac:dyDescent="0.2"/>
  <cols>
    <col min="1" max="1" width="57.28515625" bestFit="1" customWidth="1"/>
    <col min="3" max="3" width="47.42578125" bestFit="1" customWidth="1"/>
  </cols>
  <sheetData>
    <row r="1" spans="1:26" x14ac:dyDescent="0.2">
      <c r="A1" s="90" t="s">
        <v>0</v>
      </c>
      <c r="B1" s="90"/>
      <c r="C1" s="9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91"/>
      <c r="B2" s="91"/>
      <c r="C2" s="9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91"/>
      <c r="B3" s="91"/>
      <c r="C3" s="91"/>
    </row>
    <row r="4" spans="1:26" x14ac:dyDescent="0.2">
      <c r="A4" s="91"/>
      <c r="B4" s="91"/>
      <c r="C4" s="91"/>
    </row>
    <row r="5" spans="1:26" x14ac:dyDescent="0.2">
      <c r="A5" s="91"/>
      <c r="B5" s="91"/>
      <c r="C5" s="91"/>
    </row>
    <row r="6" spans="1:26" x14ac:dyDescent="0.2">
      <c r="A6" s="91"/>
      <c r="B6" s="91"/>
      <c r="C6" s="91"/>
    </row>
    <row r="7" spans="1:26" x14ac:dyDescent="0.2">
      <c r="A7" s="91"/>
      <c r="B7" s="91"/>
      <c r="C7" s="91"/>
    </row>
    <row r="8" spans="1:26" x14ac:dyDescent="0.2">
      <c r="A8" s="91"/>
      <c r="B8" s="91"/>
      <c r="C8" s="91"/>
    </row>
    <row r="9" spans="1:26" x14ac:dyDescent="0.2">
      <c r="A9" s="91"/>
      <c r="B9" s="91"/>
      <c r="C9" s="9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91"/>
      <c r="B10" s="91"/>
      <c r="C10" s="9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91"/>
      <c r="B11" s="91"/>
      <c r="C11" s="9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91"/>
      <c r="B12" s="91"/>
      <c r="C12" s="91"/>
    </row>
    <row r="13" spans="1:26" x14ac:dyDescent="0.2">
      <c r="A13" s="91"/>
      <c r="B13" s="91"/>
      <c r="C13" s="91"/>
    </row>
    <row r="14" spans="1:26" x14ac:dyDescent="0.2">
      <c r="A14" s="92"/>
      <c r="B14" s="92"/>
      <c r="C14" s="92"/>
    </row>
    <row r="15" spans="1:26" ht="13.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6.5" thickBot="1" x14ac:dyDescent="0.25">
      <c r="A16" s="2" t="s">
        <v>1</v>
      </c>
      <c r="B16" s="3"/>
      <c r="C16" s="2" t="s">
        <v>2</v>
      </c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5"/>
      <c r="B17" s="1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1" thickBot="1" x14ac:dyDescent="0.25">
      <c r="A18" s="2" t="s">
        <v>3</v>
      </c>
      <c r="B18" s="3"/>
      <c r="C18" s="2" t="s">
        <v>4</v>
      </c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xSplit="2" ySplit="10" topLeftCell="C23" activePane="bottomRight" state="frozen"/>
      <selection pane="topRight" activeCell="C1" sqref="C1"/>
      <selection pane="bottomLeft" activeCell="A11" sqref="A11"/>
      <selection pane="bottomRight" activeCell="B4" sqref="B4"/>
    </sheetView>
  </sheetViews>
  <sheetFormatPr defaultColWidth="12.5703125" defaultRowHeight="12.75" x14ac:dyDescent="0.2"/>
  <cols>
    <col min="1" max="1" width="14.7109375" bestFit="1" customWidth="1"/>
    <col min="2" max="2" width="12.5703125" bestFit="1" customWidth="1"/>
    <col min="3" max="3" width="12.7109375" bestFit="1" customWidth="1"/>
    <col min="4" max="4" width="16.85546875" bestFit="1" customWidth="1"/>
    <col min="5" max="5" width="12.7109375" bestFit="1" customWidth="1"/>
    <col min="6" max="6" width="12" bestFit="1" customWidth="1"/>
    <col min="7" max="7" width="9.28515625" bestFit="1" customWidth="1"/>
    <col min="8" max="8" width="12.5703125" bestFit="1" customWidth="1"/>
    <col min="9" max="9" width="14.140625" bestFit="1" customWidth="1"/>
    <col min="10" max="10" width="25.140625" bestFit="1" customWidth="1"/>
    <col min="11" max="11" width="14.5703125" bestFit="1" customWidth="1"/>
    <col min="12" max="12" width="12.140625" bestFit="1" customWidth="1"/>
    <col min="13" max="13" width="11.42578125" bestFit="1" customWidth="1"/>
    <col min="14" max="14" width="14.85546875" bestFit="1" customWidth="1"/>
    <col min="15" max="15" width="16.140625" bestFit="1" customWidth="1"/>
    <col min="16" max="16" width="10.140625" bestFit="1" customWidth="1"/>
    <col min="17" max="17" width="15.28515625" bestFit="1" customWidth="1"/>
    <col min="18" max="18" width="9.28515625" bestFit="1" customWidth="1"/>
    <col min="19" max="19" width="19.140625" bestFit="1" customWidth="1"/>
    <col min="20" max="20" width="15" bestFit="1" customWidth="1"/>
    <col min="21" max="21" width="14.5703125" bestFit="1" customWidth="1"/>
    <col min="22" max="22" width="8.28515625" bestFit="1" customWidth="1"/>
    <col min="23" max="26" width="12" customWidth="1"/>
  </cols>
  <sheetData>
    <row r="1" spans="1:26" x14ac:dyDescent="0.2">
      <c r="C1" s="6"/>
      <c r="D1" s="71" t="s">
        <v>5</v>
      </c>
      <c r="E1" s="72"/>
      <c r="F1" s="72"/>
      <c r="G1" s="72"/>
      <c r="H1" s="72"/>
      <c r="I1" s="73"/>
      <c r="O1" s="6"/>
      <c r="R1" s="7"/>
      <c r="S1" s="6"/>
      <c r="T1" s="6"/>
      <c r="U1" s="7"/>
      <c r="V1" s="7"/>
    </row>
    <row r="2" spans="1:26" x14ac:dyDescent="0.2">
      <c r="C2" s="6"/>
      <c r="D2" s="74"/>
      <c r="E2" s="75"/>
      <c r="F2" s="75"/>
      <c r="G2" s="75"/>
      <c r="H2" s="75"/>
      <c r="I2" s="76"/>
      <c r="O2" s="6"/>
      <c r="R2" s="7"/>
      <c r="S2" s="6"/>
      <c r="T2" s="6"/>
      <c r="U2" s="7"/>
      <c r="V2" s="7"/>
    </row>
    <row r="3" spans="1:26" x14ac:dyDescent="0.2">
      <c r="C3" s="6"/>
      <c r="D3" s="74"/>
      <c r="E3" s="75"/>
      <c r="F3" s="75"/>
      <c r="G3" s="75"/>
      <c r="H3" s="75"/>
      <c r="I3" s="76"/>
      <c r="O3" s="6"/>
      <c r="R3" s="7"/>
      <c r="S3" s="6"/>
      <c r="T3" s="6"/>
      <c r="U3" s="7"/>
      <c r="V3" s="7"/>
    </row>
    <row r="4" spans="1:26" x14ac:dyDescent="0.2">
      <c r="C4" s="6"/>
      <c r="D4" s="74"/>
      <c r="E4" s="75"/>
      <c r="F4" s="75"/>
      <c r="G4" s="75"/>
      <c r="H4" s="75"/>
      <c r="I4" s="76"/>
      <c r="O4" s="6"/>
      <c r="R4" s="7"/>
      <c r="S4" s="6"/>
      <c r="T4" s="6"/>
      <c r="U4" s="7"/>
      <c r="V4" s="7"/>
    </row>
    <row r="5" spans="1:26" x14ac:dyDescent="0.2">
      <c r="C5" s="6"/>
      <c r="D5" s="74"/>
      <c r="E5" s="75"/>
      <c r="F5" s="75"/>
      <c r="G5" s="75"/>
      <c r="H5" s="75"/>
      <c r="I5" s="76"/>
      <c r="O5" s="6"/>
      <c r="R5" s="7"/>
      <c r="S5" s="6"/>
      <c r="T5" s="6"/>
      <c r="U5" s="7"/>
      <c r="V5" s="7"/>
    </row>
    <row r="6" spans="1:26" x14ac:dyDescent="0.2">
      <c r="C6" s="6"/>
      <c r="D6" s="74"/>
      <c r="E6" s="75"/>
      <c r="F6" s="75"/>
      <c r="G6" s="75"/>
      <c r="H6" s="75"/>
      <c r="I6" s="76"/>
      <c r="O6" s="6"/>
      <c r="R6" s="7"/>
      <c r="S6" s="6"/>
      <c r="T6" s="6"/>
      <c r="U6" s="7"/>
      <c r="V6" s="7"/>
    </row>
    <row r="7" spans="1:26" x14ac:dyDescent="0.2">
      <c r="C7" s="6"/>
      <c r="D7" s="74"/>
      <c r="E7" s="75"/>
      <c r="F7" s="75"/>
      <c r="G7" s="75"/>
      <c r="H7" s="75"/>
      <c r="I7" s="76"/>
      <c r="O7" s="6"/>
      <c r="R7" s="7"/>
      <c r="S7" s="6"/>
      <c r="T7" s="6"/>
      <c r="U7" s="7"/>
      <c r="V7" s="7"/>
    </row>
    <row r="8" spans="1:26" x14ac:dyDescent="0.2">
      <c r="C8" s="6"/>
      <c r="D8" s="77"/>
      <c r="E8" s="78"/>
      <c r="F8" s="78"/>
      <c r="G8" s="78"/>
      <c r="H8" s="78"/>
      <c r="I8" s="79"/>
      <c r="O8" s="6"/>
      <c r="R8" s="7"/>
      <c r="S8" s="6"/>
      <c r="T8" s="6"/>
      <c r="U8" s="7"/>
      <c r="V8" s="7"/>
    </row>
    <row r="9" spans="1:26" x14ac:dyDescent="0.2">
      <c r="C9" s="6"/>
      <c r="D9" s="6"/>
      <c r="E9" s="7"/>
      <c r="F9" s="7"/>
      <c r="G9" s="7"/>
      <c r="H9" s="7"/>
      <c r="O9" s="6"/>
      <c r="R9" s="7"/>
      <c r="S9" s="6"/>
      <c r="T9" s="6"/>
      <c r="U9" s="7"/>
      <c r="V9" s="7"/>
    </row>
    <row r="10" spans="1:26" x14ac:dyDescent="0.2">
      <c r="A10" s="8" t="s">
        <v>6</v>
      </c>
      <c r="B10" s="8" t="s">
        <v>7</v>
      </c>
      <c r="C10" s="9" t="s">
        <v>8</v>
      </c>
      <c r="D10" s="10" t="s">
        <v>9</v>
      </c>
      <c r="E10" s="11" t="s">
        <v>10</v>
      </c>
      <c r="F10" s="11" t="s">
        <v>11</v>
      </c>
      <c r="G10" s="11" t="s">
        <v>12</v>
      </c>
      <c r="H10" s="11" t="s">
        <v>13</v>
      </c>
      <c r="I10" s="12" t="s">
        <v>14</v>
      </c>
      <c r="J10" s="8" t="s">
        <v>15</v>
      </c>
      <c r="K10" s="8" t="s">
        <v>16</v>
      </c>
      <c r="L10" s="12" t="s">
        <v>17</v>
      </c>
      <c r="M10" s="8" t="s">
        <v>18</v>
      </c>
      <c r="N10" s="8" t="s">
        <v>19</v>
      </c>
      <c r="O10" s="9" t="s">
        <v>20</v>
      </c>
      <c r="P10" s="12" t="s">
        <v>21</v>
      </c>
      <c r="Q10" s="12" t="s">
        <v>22</v>
      </c>
      <c r="R10" s="11" t="s">
        <v>23</v>
      </c>
      <c r="S10" s="10" t="s">
        <v>24</v>
      </c>
      <c r="T10" s="10" t="s">
        <v>25</v>
      </c>
      <c r="U10" s="11" t="s">
        <v>26</v>
      </c>
      <c r="V10" s="11" t="s">
        <v>27</v>
      </c>
      <c r="W10" s="13"/>
      <c r="X10" s="13"/>
      <c r="Y10" s="13"/>
      <c r="Z10" s="13"/>
    </row>
    <row r="11" spans="1:26" x14ac:dyDescent="0.2">
      <c r="A11" s="14">
        <v>45505</v>
      </c>
      <c r="B11" s="15" t="s">
        <v>28</v>
      </c>
      <c r="C11" s="16">
        <v>921287</v>
      </c>
      <c r="D11" s="17">
        <v>212777</v>
      </c>
      <c r="E11" s="18">
        <v>0.23100000000000001</v>
      </c>
      <c r="F11" s="19">
        <v>0.188</v>
      </c>
      <c r="G11" s="19">
        <v>0.34159999999999996</v>
      </c>
      <c r="H11" s="19">
        <v>0.1724</v>
      </c>
      <c r="I11" s="20">
        <v>206628</v>
      </c>
      <c r="J11" s="21">
        <v>19109</v>
      </c>
      <c r="K11" s="21">
        <v>187519</v>
      </c>
      <c r="L11" s="20">
        <v>38847</v>
      </c>
      <c r="M11" s="21">
        <v>6527</v>
      </c>
      <c r="N11" s="21">
        <v>32320</v>
      </c>
      <c r="O11" s="22">
        <v>23.72</v>
      </c>
      <c r="P11" s="23">
        <v>44419</v>
      </c>
      <c r="Q11" s="23">
        <v>1.1399999999999999</v>
      </c>
      <c r="R11" s="18">
        <v>0.215</v>
      </c>
      <c r="S11" s="24">
        <v>493881</v>
      </c>
      <c r="T11" s="24">
        <v>427406</v>
      </c>
      <c r="U11" s="19">
        <v>0.53607724849999994</v>
      </c>
      <c r="V11" s="25">
        <v>0.46392275150000001</v>
      </c>
    </row>
    <row r="12" spans="1:26" x14ac:dyDescent="0.2">
      <c r="A12" s="14">
        <v>45505</v>
      </c>
      <c r="B12" s="15" t="s">
        <v>29</v>
      </c>
      <c r="C12" s="16">
        <v>157936</v>
      </c>
      <c r="D12" s="17">
        <v>34841</v>
      </c>
      <c r="E12" s="18">
        <v>0.22059999999999999</v>
      </c>
      <c r="F12" s="18">
        <v>0.1951</v>
      </c>
      <c r="G12" s="18">
        <v>0.33019999999999999</v>
      </c>
      <c r="H12" s="18">
        <v>0.16800000000000001</v>
      </c>
      <c r="I12" s="20">
        <v>42573</v>
      </c>
      <c r="J12" s="21">
        <v>7101</v>
      </c>
      <c r="K12" s="21">
        <v>35472</v>
      </c>
      <c r="L12" s="20">
        <v>8304</v>
      </c>
      <c r="M12" s="21">
        <v>2345</v>
      </c>
      <c r="N12" s="21">
        <v>5959</v>
      </c>
      <c r="O12" s="26">
        <v>19.01926782273603</v>
      </c>
      <c r="P12" s="27">
        <v>8304</v>
      </c>
      <c r="Q12" s="27">
        <v>1</v>
      </c>
      <c r="R12" s="28">
        <v>0.1951</v>
      </c>
      <c r="S12" s="24">
        <v>78543</v>
      </c>
      <c r="T12" s="24">
        <v>79393</v>
      </c>
      <c r="U12" s="19">
        <v>0.49730903660000003</v>
      </c>
      <c r="V12" s="25">
        <v>0.50269096339999997</v>
      </c>
    </row>
    <row r="13" spans="1:26" x14ac:dyDescent="0.2">
      <c r="A13" s="14">
        <v>45505</v>
      </c>
      <c r="B13" s="15" t="s">
        <v>30</v>
      </c>
      <c r="C13" s="16">
        <v>73428</v>
      </c>
      <c r="D13" s="17">
        <v>14579</v>
      </c>
      <c r="E13" s="19">
        <v>0.1986</v>
      </c>
      <c r="F13" s="18">
        <v>0.30580000000000002</v>
      </c>
      <c r="G13" s="18">
        <v>0.378</v>
      </c>
      <c r="H13" s="18">
        <v>0.2777</v>
      </c>
      <c r="I13" s="20">
        <v>11469</v>
      </c>
      <c r="J13" s="21">
        <v>3206</v>
      </c>
      <c r="K13" s="21">
        <v>8263</v>
      </c>
      <c r="L13" s="20">
        <v>3507</v>
      </c>
      <c r="M13" s="21">
        <v>1212</v>
      </c>
      <c r="N13" s="21">
        <v>2295</v>
      </c>
      <c r="O13" s="26">
        <v>20.937553464499572</v>
      </c>
      <c r="P13" s="27">
        <v>3507</v>
      </c>
      <c r="Q13" s="27">
        <v>1</v>
      </c>
      <c r="R13" s="28">
        <v>0.30580000000000002</v>
      </c>
      <c r="S13" s="24">
        <v>34682</v>
      </c>
      <c r="T13" s="24">
        <v>38746</v>
      </c>
      <c r="U13" s="19">
        <v>0.47232663289999999</v>
      </c>
      <c r="V13" s="25">
        <v>0.52767336710000001</v>
      </c>
    </row>
    <row r="14" spans="1:26" x14ac:dyDescent="0.2">
      <c r="A14" s="14">
        <v>45536</v>
      </c>
      <c r="B14" s="15" t="s">
        <v>28</v>
      </c>
      <c r="C14" s="16">
        <v>948029</v>
      </c>
      <c r="D14" s="17">
        <v>197946</v>
      </c>
      <c r="E14" s="18">
        <v>0.20880000000000001</v>
      </c>
      <c r="F14" s="19">
        <v>0.20069999999999999</v>
      </c>
      <c r="G14" s="19">
        <v>0.32549999999999996</v>
      </c>
      <c r="H14" s="19">
        <v>0.1865</v>
      </c>
      <c r="I14" s="20">
        <v>201584</v>
      </c>
      <c r="J14" s="21">
        <v>20522</v>
      </c>
      <c r="K14" s="21">
        <v>181062</v>
      </c>
      <c r="L14" s="20">
        <v>40450</v>
      </c>
      <c r="M14" s="21">
        <v>6680</v>
      </c>
      <c r="N14" s="21">
        <v>33770</v>
      </c>
      <c r="O14" s="22">
        <v>23.44</v>
      </c>
      <c r="P14" s="23">
        <v>45915</v>
      </c>
      <c r="Q14" s="23">
        <v>1.1399999999999999</v>
      </c>
      <c r="R14" s="18">
        <v>0.2278</v>
      </c>
      <c r="S14" s="24">
        <v>500394</v>
      </c>
      <c r="T14" s="24">
        <v>447635</v>
      </c>
      <c r="U14" s="19">
        <v>0.52782562560000001</v>
      </c>
      <c r="V14" s="25">
        <v>0.47217437439999999</v>
      </c>
    </row>
    <row r="15" spans="1:26" x14ac:dyDescent="0.2">
      <c r="A15" s="14">
        <v>45536</v>
      </c>
      <c r="B15" s="15" t="s">
        <v>29</v>
      </c>
      <c r="C15" s="16">
        <v>153828</v>
      </c>
      <c r="D15" s="17">
        <v>30441</v>
      </c>
      <c r="E15" s="18">
        <v>0.19789999999999999</v>
      </c>
      <c r="F15" s="18">
        <v>0.20910000000000001</v>
      </c>
      <c r="G15" s="18">
        <v>0.33760000000000001</v>
      </c>
      <c r="H15" s="18">
        <v>0.17699999999999999</v>
      </c>
      <c r="I15" s="20">
        <v>38401</v>
      </c>
      <c r="J15" s="21">
        <v>7658</v>
      </c>
      <c r="K15" s="21">
        <v>30743</v>
      </c>
      <c r="L15" s="20">
        <v>8028</v>
      </c>
      <c r="M15" s="21">
        <v>2585</v>
      </c>
      <c r="N15" s="21">
        <v>5443</v>
      </c>
      <c r="O15" s="26">
        <v>19.161434977578477</v>
      </c>
      <c r="P15" s="27">
        <v>8027.9999999999991</v>
      </c>
      <c r="Q15" s="27">
        <v>1</v>
      </c>
      <c r="R15" s="28">
        <v>0.20910000000000001</v>
      </c>
      <c r="S15" s="24">
        <v>74109</v>
      </c>
      <c r="T15" s="24">
        <v>79719</v>
      </c>
      <c r="U15" s="19">
        <v>0.48176534830000001</v>
      </c>
      <c r="V15" s="25">
        <v>0.51823465169999994</v>
      </c>
    </row>
    <row r="16" spans="1:26" x14ac:dyDescent="0.2">
      <c r="A16" s="14">
        <v>45536</v>
      </c>
      <c r="B16" s="15" t="s">
        <v>30</v>
      </c>
      <c r="C16" s="16">
        <v>94601</v>
      </c>
      <c r="D16" s="17">
        <v>18329</v>
      </c>
      <c r="E16" s="19">
        <v>0.19370000000000001</v>
      </c>
      <c r="F16" s="18">
        <v>0.3125</v>
      </c>
      <c r="G16" s="18">
        <v>0.34960000000000002</v>
      </c>
      <c r="H16" s="18">
        <v>0.30990000000000001</v>
      </c>
      <c r="I16" s="20">
        <v>15356</v>
      </c>
      <c r="J16" s="21">
        <v>1024</v>
      </c>
      <c r="K16" s="21">
        <v>14332</v>
      </c>
      <c r="L16" s="20">
        <v>4799</v>
      </c>
      <c r="M16" s="15">
        <v>358</v>
      </c>
      <c r="N16" s="21">
        <v>4441</v>
      </c>
      <c r="O16" s="26">
        <v>19.712648468430924</v>
      </c>
      <c r="P16" s="27">
        <v>4799</v>
      </c>
      <c r="Q16" s="27">
        <v>1</v>
      </c>
      <c r="R16" s="28">
        <v>0.3125</v>
      </c>
      <c r="S16" s="24">
        <v>47718</v>
      </c>
      <c r="T16" s="24">
        <v>46883</v>
      </c>
      <c r="U16" s="19">
        <v>0.50441327260000002</v>
      </c>
      <c r="V16" s="25">
        <v>0.49558672739999998</v>
      </c>
    </row>
    <row r="17" spans="1:22" x14ac:dyDescent="0.2">
      <c r="A17" s="14">
        <v>45566</v>
      </c>
      <c r="B17" s="15" t="s">
        <v>28</v>
      </c>
      <c r="C17" s="16">
        <v>993750</v>
      </c>
      <c r="D17" s="17">
        <v>183147</v>
      </c>
      <c r="E17" s="18">
        <v>0.18429999999999999</v>
      </c>
      <c r="F17" s="19">
        <v>0.20079999999999998</v>
      </c>
      <c r="G17" s="19">
        <v>0.30859999999999999</v>
      </c>
      <c r="H17" s="19">
        <v>0.1825</v>
      </c>
      <c r="I17" s="20">
        <v>209554</v>
      </c>
      <c r="J17" s="21">
        <v>30381</v>
      </c>
      <c r="K17" s="21">
        <v>179173</v>
      </c>
      <c r="L17" s="20">
        <v>42077</v>
      </c>
      <c r="M17" s="21">
        <v>9377</v>
      </c>
      <c r="N17" s="21">
        <v>32700</v>
      </c>
      <c r="O17" s="22">
        <v>23.62</v>
      </c>
      <c r="P17" s="23">
        <v>48549</v>
      </c>
      <c r="Q17" s="23">
        <v>1.1499999999999999</v>
      </c>
      <c r="R17" s="18">
        <v>0.23170000000000002</v>
      </c>
      <c r="S17" s="24">
        <v>486763</v>
      </c>
      <c r="T17" s="24">
        <v>506987</v>
      </c>
      <c r="U17" s="19">
        <v>0.48982440250000003</v>
      </c>
      <c r="V17" s="25">
        <v>0.51017559749999997</v>
      </c>
    </row>
    <row r="18" spans="1:22" x14ac:dyDescent="0.2">
      <c r="A18" s="14">
        <v>45566</v>
      </c>
      <c r="B18" s="15" t="s">
        <v>29</v>
      </c>
      <c r="C18" s="16">
        <v>162480</v>
      </c>
      <c r="D18" s="17">
        <v>28164</v>
      </c>
      <c r="E18" s="18">
        <v>0.17330000000000001</v>
      </c>
      <c r="F18" s="18">
        <v>0.21920000000000001</v>
      </c>
      <c r="G18" s="18">
        <v>0.31709999999999999</v>
      </c>
      <c r="H18" s="18">
        <v>0.1938</v>
      </c>
      <c r="I18" s="20">
        <v>38675</v>
      </c>
      <c r="J18" s="21">
        <v>7967</v>
      </c>
      <c r="K18" s="21">
        <v>30708</v>
      </c>
      <c r="L18" s="20">
        <v>8478</v>
      </c>
      <c r="M18" s="21">
        <v>2526</v>
      </c>
      <c r="N18" s="21">
        <v>5952</v>
      </c>
      <c r="O18" s="26">
        <v>19.164897381457891</v>
      </c>
      <c r="P18" s="27">
        <v>8478</v>
      </c>
      <c r="Q18" s="27">
        <v>1</v>
      </c>
      <c r="R18" s="28">
        <v>0.21920000000000001</v>
      </c>
      <c r="S18" s="24">
        <v>72430</v>
      </c>
      <c r="T18" s="24">
        <v>90050</v>
      </c>
      <c r="U18" s="19">
        <v>0.44577794189999997</v>
      </c>
      <c r="V18" s="25">
        <v>0.55422205810000003</v>
      </c>
    </row>
    <row r="19" spans="1:22" x14ac:dyDescent="0.2">
      <c r="A19" s="14">
        <v>45566</v>
      </c>
      <c r="B19" s="15" t="s">
        <v>30</v>
      </c>
      <c r="C19" s="16">
        <v>117918</v>
      </c>
      <c r="D19" s="17">
        <v>19809</v>
      </c>
      <c r="E19" s="19">
        <v>0.16800000000000001</v>
      </c>
      <c r="F19" s="18">
        <v>0.2828</v>
      </c>
      <c r="G19" s="18">
        <v>0.33439999999999998</v>
      </c>
      <c r="H19" s="18">
        <v>0.2671</v>
      </c>
      <c r="I19" s="20">
        <v>20833</v>
      </c>
      <c r="J19" s="21">
        <v>4844</v>
      </c>
      <c r="K19" s="21">
        <v>15989</v>
      </c>
      <c r="L19" s="20">
        <v>5891</v>
      </c>
      <c r="M19" s="21">
        <v>1620</v>
      </c>
      <c r="N19" s="21">
        <v>4271</v>
      </c>
      <c r="O19" s="26">
        <v>20.01663554574775</v>
      </c>
      <c r="P19" s="27">
        <v>5891</v>
      </c>
      <c r="Q19" s="27">
        <v>1</v>
      </c>
      <c r="R19" s="28">
        <v>0.2828</v>
      </c>
      <c r="S19" s="24">
        <v>58393</v>
      </c>
      <c r="T19" s="24">
        <v>59525</v>
      </c>
      <c r="U19" s="19">
        <v>0.49520005429999997</v>
      </c>
      <c r="V19" s="25">
        <v>0.50479994569999997</v>
      </c>
    </row>
    <row r="20" spans="1:22" x14ac:dyDescent="0.2">
      <c r="A20" s="14">
        <v>45597</v>
      </c>
      <c r="B20" s="15" t="s">
        <v>28</v>
      </c>
      <c r="C20" s="16">
        <v>1022469</v>
      </c>
      <c r="D20" s="17">
        <v>170017</v>
      </c>
      <c r="E20" s="18">
        <v>0.1663</v>
      </c>
      <c r="F20" s="19">
        <v>0.18469999999999998</v>
      </c>
      <c r="G20" s="19">
        <v>0.31269999999999998</v>
      </c>
      <c r="H20" s="19">
        <v>0.1699</v>
      </c>
      <c r="I20" s="20">
        <v>235393</v>
      </c>
      <c r="J20" s="21">
        <v>24397</v>
      </c>
      <c r="K20" s="21">
        <v>210996</v>
      </c>
      <c r="L20" s="20">
        <v>43480</v>
      </c>
      <c r="M20" s="21">
        <v>7628</v>
      </c>
      <c r="N20" s="21">
        <v>35852</v>
      </c>
      <c r="O20" s="22">
        <v>23.52</v>
      </c>
      <c r="P20" s="23">
        <v>50265</v>
      </c>
      <c r="Q20" s="23">
        <v>1.1599999999999999</v>
      </c>
      <c r="R20" s="18">
        <v>0.21350000000000002</v>
      </c>
      <c r="S20" s="24">
        <v>501876</v>
      </c>
      <c r="T20" s="24">
        <v>520593</v>
      </c>
      <c r="U20" s="19">
        <v>0.49084715529999995</v>
      </c>
      <c r="V20" s="25">
        <v>0.5091528447</v>
      </c>
    </row>
    <row r="21" spans="1:22" x14ac:dyDescent="0.2">
      <c r="A21" s="14">
        <v>45597</v>
      </c>
      <c r="B21" s="15" t="s">
        <v>29</v>
      </c>
      <c r="C21" s="16">
        <v>158885</v>
      </c>
      <c r="D21" s="17">
        <v>26311</v>
      </c>
      <c r="E21" s="18">
        <v>0.1656</v>
      </c>
      <c r="F21" s="18">
        <v>0.2185</v>
      </c>
      <c r="G21" s="18">
        <v>0.33439999999999998</v>
      </c>
      <c r="H21" s="18">
        <v>0.1978</v>
      </c>
      <c r="I21" s="20">
        <v>38659</v>
      </c>
      <c r="J21" s="21">
        <v>5858</v>
      </c>
      <c r="K21" s="21">
        <v>32801</v>
      </c>
      <c r="L21" s="20">
        <v>8448</v>
      </c>
      <c r="M21" s="21">
        <v>1959</v>
      </c>
      <c r="N21" s="21">
        <v>6489</v>
      </c>
      <c r="O21" s="26">
        <v>18.807410037878789</v>
      </c>
      <c r="P21" s="27">
        <v>8448</v>
      </c>
      <c r="Q21" s="27">
        <v>1</v>
      </c>
      <c r="R21" s="28">
        <v>0.2185</v>
      </c>
      <c r="S21" s="24">
        <v>69552</v>
      </c>
      <c r="T21" s="24">
        <v>89333</v>
      </c>
      <c r="U21" s="19">
        <v>0.43775057429999997</v>
      </c>
      <c r="V21" s="25">
        <v>0.56224942570000003</v>
      </c>
    </row>
    <row r="22" spans="1:22" x14ac:dyDescent="0.2">
      <c r="A22" s="14">
        <v>45597</v>
      </c>
      <c r="B22" s="15" t="s">
        <v>30</v>
      </c>
      <c r="C22" s="16">
        <v>114352</v>
      </c>
      <c r="D22" s="17">
        <v>19650</v>
      </c>
      <c r="E22" s="19">
        <v>0.17180000000000001</v>
      </c>
      <c r="F22" s="18">
        <v>0.2316</v>
      </c>
      <c r="G22" s="18">
        <v>0.31759999999999999</v>
      </c>
      <c r="H22" s="18">
        <v>0.20369999999999999</v>
      </c>
      <c r="I22" s="20">
        <v>23353</v>
      </c>
      <c r="J22" s="21">
        <v>5721</v>
      </c>
      <c r="K22" s="21">
        <v>17632</v>
      </c>
      <c r="L22" s="20">
        <v>5408</v>
      </c>
      <c r="M22" s="21">
        <v>1817</v>
      </c>
      <c r="N22" s="21">
        <v>3591</v>
      </c>
      <c r="O22" s="26">
        <v>21.144970414201183</v>
      </c>
      <c r="P22" s="27">
        <v>5408</v>
      </c>
      <c r="Q22" s="27">
        <v>1</v>
      </c>
      <c r="R22" s="28">
        <v>0.2316</v>
      </c>
      <c r="S22" s="24">
        <v>59120</v>
      </c>
      <c r="T22" s="24">
        <v>55232</v>
      </c>
      <c r="U22" s="19">
        <v>0.51700013990000004</v>
      </c>
      <c r="V22" s="25">
        <v>0.48299986009999996</v>
      </c>
    </row>
    <row r="23" spans="1:22" x14ac:dyDescent="0.2">
      <c r="A23" s="14">
        <v>45627</v>
      </c>
      <c r="B23" s="15" t="s">
        <v>28</v>
      </c>
      <c r="C23" s="16">
        <v>961094</v>
      </c>
      <c r="D23" s="17">
        <v>224070</v>
      </c>
      <c r="E23" s="18">
        <v>0.2331</v>
      </c>
      <c r="F23" s="19">
        <v>0.1764</v>
      </c>
      <c r="G23" s="19">
        <v>0.30640000000000001</v>
      </c>
      <c r="H23" s="19">
        <v>0.1527</v>
      </c>
      <c r="I23" s="20">
        <v>222858</v>
      </c>
      <c r="J23" s="21">
        <v>34476</v>
      </c>
      <c r="K23" s="21">
        <v>188382</v>
      </c>
      <c r="L23" s="20">
        <v>39320</v>
      </c>
      <c r="M23" s="21">
        <v>10562</v>
      </c>
      <c r="N23" s="21">
        <v>28758</v>
      </c>
      <c r="O23" s="22">
        <v>24.44</v>
      </c>
      <c r="P23" s="23">
        <v>44946</v>
      </c>
      <c r="Q23" s="23">
        <v>1.1399999999999999</v>
      </c>
      <c r="R23" s="18">
        <v>0.20170000000000002</v>
      </c>
      <c r="S23" s="24">
        <v>478056</v>
      </c>
      <c r="T23" s="24">
        <v>483038</v>
      </c>
      <c r="U23" s="19">
        <v>0.49740816189999998</v>
      </c>
      <c r="V23" s="25">
        <v>0.50259183810000008</v>
      </c>
    </row>
    <row r="24" spans="1:22" x14ac:dyDescent="0.2">
      <c r="A24" s="14">
        <v>45627</v>
      </c>
      <c r="B24" s="15" t="s">
        <v>29</v>
      </c>
      <c r="C24" s="16">
        <v>144048</v>
      </c>
      <c r="D24" s="17">
        <v>29089</v>
      </c>
      <c r="E24" s="18">
        <v>0.2019</v>
      </c>
      <c r="F24" s="18">
        <v>0.2006</v>
      </c>
      <c r="G24" s="18">
        <v>0.30830000000000002</v>
      </c>
      <c r="H24" s="18">
        <v>0.16439999999999999</v>
      </c>
      <c r="I24" s="20">
        <v>36413</v>
      </c>
      <c r="J24" s="21">
        <v>9146</v>
      </c>
      <c r="K24" s="21">
        <v>27267</v>
      </c>
      <c r="L24" s="20">
        <v>7303</v>
      </c>
      <c r="M24" s="21">
        <v>2820</v>
      </c>
      <c r="N24" s="21">
        <v>4483</v>
      </c>
      <c r="O24" s="26">
        <v>19.724496782144325</v>
      </c>
      <c r="P24" s="27">
        <v>7303</v>
      </c>
      <c r="Q24" s="27">
        <v>1</v>
      </c>
      <c r="R24" s="28">
        <v>0.2006</v>
      </c>
      <c r="S24" s="24">
        <v>66936</v>
      </c>
      <c r="T24" s="24">
        <v>77112</v>
      </c>
      <c r="U24" s="19">
        <v>0.46467844049999996</v>
      </c>
      <c r="V24" s="25">
        <v>0.53532155950000004</v>
      </c>
    </row>
    <row r="25" spans="1:22" x14ac:dyDescent="0.2">
      <c r="A25" s="14">
        <v>45627</v>
      </c>
      <c r="B25" s="15" t="s">
        <v>30</v>
      </c>
      <c r="C25" s="16">
        <v>142328</v>
      </c>
      <c r="D25" s="17">
        <v>30277</v>
      </c>
      <c r="E25" s="19">
        <v>0.2127</v>
      </c>
      <c r="F25" s="18">
        <v>0.2379</v>
      </c>
      <c r="G25" s="18">
        <v>0.32140000000000002</v>
      </c>
      <c r="H25" s="18">
        <v>0.18790000000000001</v>
      </c>
      <c r="I25" s="20">
        <v>26649</v>
      </c>
      <c r="J25" s="21">
        <v>9971</v>
      </c>
      <c r="K25" s="21">
        <v>16678</v>
      </c>
      <c r="L25" s="20">
        <v>6339</v>
      </c>
      <c r="M25" s="21">
        <v>3205</v>
      </c>
      <c r="N25" s="21">
        <v>3134</v>
      </c>
      <c r="O25" s="26">
        <v>22.452752800126202</v>
      </c>
      <c r="P25" s="27">
        <v>6339</v>
      </c>
      <c r="Q25" s="27">
        <v>1</v>
      </c>
      <c r="R25" s="28">
        <v>0.2379</v>
      </c>
      <c r="S25" s="24">
        <v>78274</v>
      </c>
      <c r="T25" s="24">
        <v>64054</v>
      </c>
      <c r="U25" s="19">
        <v>0.54995503339999996</v>
      </c>
      <c r="V25" s="25">
        <v>0.45004496659999998</v>
      </c>
    </row>
    <row r="26" spans="1:22" x14ac:dyDescent="0.2">
      <c r="A26" s="14">
        <v>45658</v>
      </c>
      <c r="B26" s="15" t="s">
        <v>28</v>
      </c>
      <c r="C26" s="16">
        <v>1255515</v>
      </c>
      <c r="D26" s="17">
        <v>311215</v>
      </c>
      <c r="E26" s="18">
        <v>0.24790000000000001</v>
      </c>
      <c r="F26" s="19">
        <v>0.17120000000000002</v>
      </c>
      <c r="G26" s="19">
        <v>0.29210000000000003</v>
      </c>
      <c r="H26" s="19">
        <v>0.13980000000000001</v>
      </c>
      <c r="I26" s="20">
        <v>292426</v>
      </c>
      <c r="J26" s="21">
        <v>60260</v>
      </c>
      <c r="K26" s="21">
        <v>232166</v>
      </c>
      <c r="L26" s="20">
        <v>50063</v>
      </c>
      <c r="M26" s="21">
        <v>17601</v>
      </c>
      <c r="N26" s="21">
        <v>32462</v>
      </c>
      <c r="O26" s="22">
        <v>25.08</v>
      </c>
      <c r="P26" s="23">
        <v>56858</v>
      </c>
      <c r="Q26" s="23">
        <v>1.1399999999999999</v>
      </c>
      <c r="R26" s="18">
        <v>0.19440000000000002</v>
      </c>
      <c r="S26" s="24">
        <v>691439</v>
      </c>
      <c r="T26" s="24">
        <v>564076</v>
      </c>
      <c r="U26" s="19">
        <v>0.5507214171</v>
      </c>
      <c r="V26" s="25">
        <v>0.44927858290000006</v>
      </c>
    </row>
    <row r="27" spans="1:22" x14ac:dyDescent="0.2">
      <c r="A27" s="14">
        <v>45658</v>
      </c>
      <c r="B27" s="15" t="s">
        <v>29</v>
      </c>
      <c r="C27" s="16">
        <v>200911</v>
      </c>
      <c r="D27" s="17">
        <v>38753</v>
      </c>
      <c r="E27" s="18">
        <v>0.19289999999999999</v>
      </c>
      <c r="F27" s="18">
        <v>0.19020000000000001</v>
      </c>
      <c r="G27" s="18">
        <v>0.28199999999999997</v>
      </c>
      <c r="H27" s="18">
        <v>0.13800000000000001</v>
      </c>
      <c r="I27" s="20">
        <v>53198</v>
      </c>
      <c r="J27" s="21">
        <v>19278</v>
      </c>
      <c r="K27" s="21">
        <v>33920</v>
      </c>
      <c r="L27" s="20">
        <v>10117</v>
      </c>
      <c r="M27" s="21">
        <v>5437</v>
      </c>
      <c r="N27" s="21">
        <v>4680</v>
      </c>
      <c r="O27" s="26">
        <v>19.858752594642681</v>
      </c>
      <c r="P27" s="27">
        <v>10117</v>
      </c>
      <c r="Q27" s="27">
        <v>1</v>
      </c>
      <c r="R27" s="28">
        <v>0.19020000000000001</v>
      </c>
      <c r="S27" s="24">
        <v>108909</v>
      </c>
      <c r="T27" s="24">
        <v>92002</v>
      </c>
      <c r="U27" s="19">
        <v>0.54207584450000001</v>
      </c>
      <c r="V27" s="25">
        <v>0.45792415549999999</v>
      </c>
    </row>
    <row r="28" spans="1:22" x14ac:dyDescent="0.2">
      <c r="A28" s="14">
        <v>45658</v>
      </c>
      <c r="B28" s="15" t="s">
        <v>30</v>
      </c>
      <c r="C28" s="16">
        <v>190536</v>
      </c>
      <c r="D28" s="17">
        <v>41162</v>
      </c>
      <c r="E28" s="19">
        <v>0.21600000000000003</v>
      </c>
      <c r="F28" s="18">
        <v>0.2324</v>
      </c>
      <c r="G28" s="18">
        <v>0.3216</v>
      </c>
      <c r="H28" s="18">
        <v>0.16039999999999999</v>
      </c>
      <c r="I28" s="20">
        <v>34752</v>
      </c>
      <c r="J28" s="21">
        <v>15508</v>
      </c>
      <c r="K28" s="21">
        <v>19244</v>
      </c>
      <c r="L28" s="20">
        <v>8075</v>
      </c>
      <c r="M28" s="21">
        <v>4988</v>
      </c>
      <c r="N28" s="21">
        <v>3087</v>
      </c>
      <c r="O28" s="26">
        <v>23.59578947368421</v>
      </c>
      <c r="P28" s="27">
        <v>8075</v>
      </c>
      <c r="Q28" s="27">
        <v>1</v>
      </c>
      <c r="R28" s="28">
        <v>0.2324</v>
      </c>
      <c r="S28" s="24">
        <v>113715</v>
      </c>
      <c r="T28" s="24">
        <v>76821</v>
      </c>
      <c r="U28" s="19">
        <v>0.59681634969999997</v>
      </c>
      <c r="V28" s="25">
        <v>0.40318365030000003</v>
      </c>
    </row>
    <row r="29" spans="1:22" x14ac:dyDescent="0.2">
      <c r="A29" s="14">
        <v>45689</v>
      </c>
      <c r="B29" s="15" t="s">
        <v>28</v>
      </c>
      <c r="C29" s="16">
        <v>1140886</v>
      </c>
      <c r="D29" s="17">
        <v>273131</v>
      </c>
      <c r="E29" s="18">
        <v>0.2394</v>
      </c>
      <c r="F29" s="19">
        <v>0.17829999999999999</v>
      </c>
      <c r="G29" s="19">
        <v>0.28749999999999998</v>
      </c>
      <c r="H29" s="19">
        <v>0.1457</v>
      </c>
      <c r="I29" s="20">
        <v>256900</v>
      </c>
      <c r="J29" s="21">
        <v>59041</v>
      </c>
      <c r="K29" s="21">
        <v>197859</v>
      </c>
      <c r="L29" s="20">
        <v>45805</v>
      </c>
      <c r="M29" s="21">
        <v>16973</v>
      </c>
      <c r="N29" s="21">
        <v>28832</v>
      </c>
      <c r="O29" s="22">
        <v>24.91</v>
      </c>
      <c r="P29" s="23">
        <v>51979</v>
      </c>
      <c r="Q29" s="23">
        <v>1.1299999999999999</v>
      </c>
      <c r="R29" s="18">
        <v>0.20230000000000001</v>
      </c>
      <c r="S29" s="24">
        <v>599779</v>
      </c>
      <c r="T29" s="24">
        <v>541107</v>
      </c>
      <c r="U29" s="19">
        <v>0.5257133491</v>
      </c>
      <c r="V29" s="25">
        <v>0.47428665090000005</v>
      </c>
    </row>
    <row r="30" spans="1:22" x14ac:dyDescent="0.2">
      <c r="A30" s="14">
        <v>45689</v>
      </c>
      <c r="B30" s="15" t="s">
        <v>29</v>
      </c>
      <c r="C30" s="16">
        <v>171789</v>
      </c>
      <c r="D30" s="17">
        <v>33744</v>
      </c>
      <c r="E30" s="18">
        <v>0.19639999999999999</v>
      </c>
      <c r="F30" s="18">
        <v>0.1946</v>
      </c>
      <c r="G30" s="18">
        <v>0.25979999999999998</v>
      </c>
      <c r="H30" s="18">
        <v>0.15129999999999999</v>
      </c>
      <c r="I30" s="20">
        <v>43584</v>
      </c>
      <c r="J30" s="21">
        <v>17402</v>
      </c>
      <c r="K30" s="21">
        <v>26182</v>
      </c>
      <c r="L30" s="20">
        <v>8482</v>
      </c>
      <c r="M30" s="21">
        <v>4521</v>
      </c>
      <c r="N30" s="21">
        <v>3961</v>
      </c>
      <c r="O30" s="26">
        <v>20.253360056590427</v>
      </c>
      <c r="P30" s="27">
        <v>8482</v>
      </c>
      <c r="Q30" s="27">
        <v>1</v>
      </c>
      <c r="R30" s="28">
        <v>0.1946</v>
      </c>
      <c r="S30" s="24">
        <v>85980</v>
      </c>
      <c r="T30" s="24">
        <v>85809</v>
      </c>
      <c r="U30" s="19">
        <v>0.50049770360000001</v>
      </c>
      <c r="V30" s="25">
        <v>0.49950229640000005</v>
      </c>
    </row>
    <row r="31" spans="1:22" x14ac:dyDescent="0.2">
      <c r="A31" s="14">
        <v>45689</v>
      </c>
      <c r="B31" s="15" t="s">
        <v>30</v>
      </c>
      <c r="C31" s="16">
        <v>158359</v>
      </c>
      <c r="D31" s="17">
        <v>32689</v>
      </c>
      <c r="E31" s="19">
        <v>0.2064</v>
      </c>
      <c r="F31" s="18">
        <v>0.2505</v>
      </c>
      <c r="G31" s="18">
        <v>0.31169999999999998</v>
      </c>
      <c r="H31" s="18">
        <v>0.19600000000000001</v>
      </c>
      <c r="I31" s="20">
        <v>27352</v>
      </c>
      <c r="J31" s="21">
        <v>12893</v>
      </c>
      <c r="K31" s="21">
        <v>14459</v>
      </c>
      <c r="L31" s="20">
        <v>6853</v>
      </c>
      <c r="M31" s="21">
        <v>4019</v>
      </c>
      <c r="N31" s="21">
        <v>2834</v>
      </c>
      <c r="O31" s="26">
        <v>23.107981905734714</v>
      </c>
      <c r="P31" s="27">
        <v>6853</v>
      </c>
      <c r="Q31" s="27">
        <v>1</v>
      </c>
      <c r="R31" s="28">
        <v>0.2505</v>
      </c>
      <c r="S31" s="24">
        <v>88216</v>
      </c>
      <c r="T31" s="24">
        <v>70143</v>
      </c>
      <c r="U31" s="19">
        <v>0.55706338129999999</v>
      </c>
      <c r="V31" s="25">
        <v>0.44293661870000001</v>
      </c>
    </row>
    <row r="32" spans="1:22" x14ac:dyDescent="0.2">
      <c r="A32" s="14">
        <v>45717</v>
      </c>
      <c r="B32" s="15" t="s">
        <v>28</v>
      </c>
      <c r="C32" s="16">
        <v>1171220</v>
      </c>
      <c r="D32" s="17">
        <v>327361</v>
      </c>
      <c r="E32" s="18">
        <v>0.27950000000000003</v>
      </c>
      <c r="F32" s="19">
        <v>0.18239999999999998</v>
      </c>
      <c r="G32" s="19">
        <v>0.33340000000000003</v>
      </c>
      <c r="H32" s="19">
        <v>0.1641</v>
      </c>
      <c r="I32" s="20">
        <v>256817</v>
      </c>
      <c r="J32" s="21">
        <v>27733</v>
      </c>
      <c r="K32" s="21">
        <v>229084</v>
      </c>
      <c r="L32" s="20">
        <v>46843</v>
      </c>
      <c r="M32" s="21">
        <v>9247</v>
      </c>
      <c r="N32" s="21">
        <v>37596</v>
      </c>
      <c r="O32" s="22">
        <v>25</v>
      </c>
      <c r="P32" s="23">
        <v>53774</v>
      </c>
      <c r="Q32" s="23">
        <v>1.1499999999999999</v>
      </c>
      <c r="R32" s="18">
        <v>0.2094</v>
      </c>
      <c r="S32" s="24">
        <v>542519</v>
      </c>
      <c r="T32" s="24">
        <v>628701</v>
      </c>
      <c r="U32" s="19">
        <v>0.46320844929999999</v>
      </c>
      <c r="V32" s="25">
        <v>0.53679155069999995</v>
      </c>
    </row>
    <row r="33" spans="1:22" x14ac:dyDescent="0.2">
      <c r="A33" s="14">
        <v>45717</v>
      </c>
      <c r="B33" s="15" t="s">
        <v>29</v>
      </c>
      <c r="C33" s="16">
        <v>160501</v>
      </c>
      <c r="D33" s="17">
        <v>50164</v>
      </c>
      <c r="E33" s="18">
        <v>0.3125</v>
      </c>
      <c r="F33" s="18">
        <v>0.2142</v>
      </c>
      <c r="G33" s="18">
        <v>0.36230000000000001</v>
      </c>
      <c r="H33" s="18">
        <v>0.20369999999999999</v>
      </c>
      <c r="I33" s="20">
        <v>37922</v>
      </c>
      <c r="J33" s="21">
        <v>2498</v>
      </c>
      <c r="K33" s="21">
        <v>35424</v>
      </c>
      <c r="L33" s="20">
        <v>8121</v>
      </c>
      <c r="M33" s="15">
        <v>905</v>
      </c>
      <c r="N33" s="21">
        <v>7216</v>
      </c>
      <c r="O33" s="26">
        <v>19.763699051840906</v>
      </c>
      <c r="P33" s="27">
        <v>8121</v>
      </c>
      <c r="Q33" s="27">
        <v>1</v>
      </c>
      <c r="R33" s="28">
        <v>0.2142</v>
      </c>
      <c r="S33" s="24">
        <v>63043</v>
      </c>
      <c r="T33" s="24">
        <v>97458</v>
      </c>
      <c r="U33" s="19">
        <v>0.39278882999999998</v>
      </c>
      <c r="V33" s="25">
        <v>0.60721117000000002</v>
      </c>
    </row>
    <row r="34" spans="1:22" x14ac:dyDescent="0.2">
      <c r="A34" s="14">
        <v>45717</v>
      </c>
      <c r="B34" s="15" t="s">
        <v>30</v>
      </c>
      <c r="C34" s="16">
        <v>141353</v>
      </c>
      <c r="D34" s="17">
        <v>44004</v>
      </c>
      <c r="E34" s="19">
        <v>0.31129999999999997</v>
      </c>
      <c r="F34" s="18">
        <v>0.26079999999999998</v>
      </c>
      <c r="G34" s="18">
        <v>0.41260000000000002</v>
      </c>
      <c r="H34" s="18">
        <v>0.24629999999999999</v>
      </c>
      <c r="I34" s="20">
        <v>23927</v>
      </c>
      <c r="J34" s="21">
        <v>2082</v>
      </c>
      <c r="K34" s="21">
        <v>21845</v>
      </c>
      <c r="L34" s="20">
        <v>6239</v>
      </c>
      <c r="M34" s="15">
        <v>859</v>
      </c>
      <c r="N34" s="21">
        <v>5380</v>
      </c>
      <c r="O34" s="26">
        <v>22.656355185125822</v>
      </c>
      <c r="P34" s="27">
        <v>6239</v>
      </c>
      <c r="Q34" s="27">
        <v>1</v>
      </c>
      <c r="R34" s="28">
        <v>0.26079999999999998</v>
      </c>
      <c r="S34" s="24">
        <v>60337</v>
      </c>
      <c r="T34" s="24">
        <v>81016</v>
      </c>
      <c r="U34" s="19">
        <v>0.42685333880000004</v>
      </c>
      <c r="V34" s="25">
        <v>0.57314666120000002</v>
      </c>
    </row>
    <row r="35" spans="1:22" x14ac:dyDescent="0.2">
      <c r="A35" s="14">
        <v>45748</v>
      </c>
      <c r="B35" s="15" t="s">
        <v>28</v>
      </c>
      <c r="C35" s="16">
        <v>1148444</v>
      </c>
      <c r="D35" s="17">
        <v>301006</v>
      </c>
      <c r="E35" s="18">
        <v>0.2621</v>
      </c>
      <c r="F35" s="19">
        <v>0.19750000000000001</v>
      </c>
      <c r="G35" s="19">
        <v>0.3044</v>
      </c>
      <c r="H35" s="19">
        <v>0.17370000000000002</v>
      </c>
      <c r="I35" s="20">
        <v>227683</v>
      </c>
      <c r="J35" s="21">
        <v>41437</v>
      </c>
      <c r="K35" s="21">
        <v>186246</v>
      </c>
      <c r="L35" s="20">
        <v>44960</v>
      </c>
      <c r="M35" s="21">
        <v>12614</v>
      </c>
      <c r="N35" s="21">
        <v>32346</v>
      </c>
      <c r="O35" s="22">
        <v>25.54</v>
      </c>
      <c r="P35" s="23">
        <v>50663</v>
      </c>
      <c r="Q35" s="23">
        <v>1.1299999999999999</v>
      </c>
      <c r="R35" s="18">
        <v>0.2225</v>
      </c>
      <c r="S35" s="24">
        <v>529055</v>
      </c>
      <c r="T35" s="24">
        <v>619389</v>
      </c>
      <c r="U35" s="19">
        <v>0.4606711342</v>
      </c>
      <c r="V35" s="25">
        <v>0.53932886580000006</v>
      </c>
    </row>
    <row r="36" spans="1:22" x14ac:dyDescent="0.2">
      <c r="A36" s="14">
        <v>45748</v>
      </c>
      <c r="B36" s="15" t="s">
        <v>29</v>
      </c>
      <c r="C36" s="16">
        <v>145519</v>
      </c>
      <c r="D36" s="17">
        <v>35234</v>
      </c>
      <c r="E36" s="18">
        <v>0.24210000000000001</v>
      </c>
      <c r="F36" s="18">
        <v>0.223</v>
      </c>
      <c r="G36" s="18">
        <v>0.28899999999999998</v>
      </c>
      <c r="H36" s="18">
        <v>0.1895</v>
      </c>
      <c r="I36" s="20">
        <v>32328</v>
      </c>
      <c r="J36" s="21">
        <v>10864</v>
      </c>
      <c r="K36" s="21">
        <v>21464</v>
      </c>
      <c r="L36" s="20">
        <v>7208</v>
      </c>
      <c r="M36" s="21">
        <v>3140</v>
      </c>
      <c r="N36" s="21">
        <v>4068</v>
      </c>
      <c r="O36" s="26">
        <v>20.188540510543842</v>
      </c>
      <c r="P36" s="27">
        <v>7207.9999999999991</v>
      </c>
      <c r="Q36" s="27">
        <v>1</v>
      </c>
      <c r="R36" s="28">
        <v>0.223</v>
      </c>
      <c r="S36" s="24">
        <v>56854</v>
      </c>
      <c r="T36" s="24">
        <v>88665</v>
      </c>
      <c r="U36" s="19">
        <v>0.39069812190000003</v>
      </c>
      <c r="V36" s="25">
        <v>0.60930187810000003</v>
      </c>
    </row>
    <row r="37" spans="1:22" x14ac:dyDescent="0.2">
      <c r="A37" s="14">
        <v>45748</v>
      </c>
      <c r="B37" s="15" t="s">
        <v>30</v>
      </c>
      <c r="C37" s="16">
        <v>121332</v>
      </c>
      <c r="D37" s="17">
        <v>26611</v>
      </c>
      <c r="E37" s="19">
        <v>0.21929999999999999</v>
      </c>
      <c r="F37" s="18">
        <v>0.29089999999999999</v>
      </c>
      <c r="G37" s="18">
        <v>0.34320000000000001</v>
      </c>
      <c r="H37" s="18">
        <v>0.25259999999999999</v>
      </c>
      <c r="I37" s="20">
        <v>18474</v>
      </c>
      <c r="J37" s="21">
        <v>7817</v>
      </c>
      <c r="K37" s="21">
        <v>10657</v>
      </c>
      <c r="L37" s="20">
        <v>5375</v>
      </c>
      <c r="M37" s="21">
        <v>2683</v>
      </c>
      <c r="N37" s="21">
        <v>2692</v>
      </c>
      <c r="O37" s="26">
        <v>22.573395348837209</v>
      </c>
      <c r="P37" s="27">
        <v>5375</v>
      </c>
      <c r="Q37" s="27">
        <v>1</v>
      </c>
      <c r="R37" s="28">
        <v>0.29089999999999999</v>
      </c>
      <c r="S37" s="24">
        <v>48428</v>
      </c>
      <c r="T37" s="24">
        <v>72904</v>
      </c>
      <c r="U37" s="19">
        <v>0.39913625420000004</v>
      </c>
      <c r="V37" s="25">
        <v>0.60086374580000002</v>
      </c>
    </row>
    <row r="38" spans="1:22" x14ac:dyDescent="0.2">
      <c r="A38" s="14">
        <v>45778</v>
      </c>
      <c r="B38" s="15" t="s">
        <v>28</v>
      </c>
      <c r="C38" s="16">
        <v>1231499</v>
      </c>
      <c r="D38" s="17">
        <v>322128</v>
      </c>
      <c r="E38" s="18">
        <v>0.2616</v>
      </c>
      <c r="F38" s="19">
        <v>0.2054</v>
      </c>
      <c r="G38" s="19">
        <v>0.3054</v>
      </c>
      <c r="H38" s="19">
        <v>0.17879999999999999</v>
      </c>
      <c r="I38" s="20">
        <v>231747</v>
      </c>
      <c r="J38" s="21">
        <v>48607</v>
      </c>
      <c r="K38" s="21">
        <v>183140</v>
      </c>
      <c r="L38" s="20">
        <v>47596</v>
      </c>
      <c r="M38" s="21">
        <v>14846</v>
      </c>
      <c r="N38" s="21">
        <v>32750</v>
      </c>
      <c r="O38" s="22">
        <v>25.87</v>
      </c>
      <c r="P38" s="23">
        <v>53380</v>
      </c>
      <c r="Q38" s="23">
        <v>1.1200000000000001</v>
      </c>
      <c r="R38" s="18">
        <v>0.2303</v>
      </c>
      <c r="S38" s="24">
        <v>560738</v>
      </c>
      <c r="T38" s="24">
        <v>670761</v>
      </c>
      <c r="U38" s="19">
        <v>0.45532964300000001</v>
      </c>
      <c r="V38" s="25">
        <v>0.54467035699999999</v>
      </c>
    </row>
    <row r="39" spans="1:22" x14ac:dyDescent="0.2">
      <c r="A39" s="14">
        <v>45778</v>
      </c>
      <c r="B39" s="15" t="s">
        <v>29</v>
      </c>
      <c r="C39" s="16">
        <v>150656</v>
      </c>
      <c r="D39" s="17">
        <v>34523</v>
      </c>
      <c r="E39" s="18">
        <v>0.22919999999999999</v>
      </c>
      <c r="F39" s="18">
        <v>0.2276</v>
      </c>
      <c r="G39" s="18">
        <v>0.28870000000000001</v>
      </c>
      <c r="H39" s="18">
        <v>0.1938</v>
      </c>
      <c r="I39" s="20">
        <v>33319</v>
      </c>
      <c r="J39" s="21">
        <v>11842</v>
      </c>
      <c r="K39" s="21">
        <v>21477</v>
      </c>
      <c r="L39" s="20">
        <v>7582</v>
      </c>
      <c r="M39" s="21">
        <v>3419</v>
      </c>
      <c r="N39" s="21">
        <v>4163</v>
      </c>
      <c r="O39" s="26">
        <v>19.870218939593776</v>
      </c>
      <c r="P39" s="27">
        <v>7581.9999999999991</v>
      </c>
      <c r="Q39" s="27">
        <v>1</v>
      </c>
      <c r="R39" s="28">
        <v>0.2276</v>
      </c>
      <c r="S39" s="24">
        <v>59553</v>
      </c>
      <c r="T39" s="24">
        <v>91103</v>
      </c>
      <c r="U39" s="19">
        <v>0.3952912596</v>
      </c>
      <c r="V39" s="25">
        <v>0.6047087404</v>
      </c>
    </row>
    <row r="40" spans="1:22" x14ac:dyDescent="0.2">
      <c r="A40" s="14">
        <v>45778</v>
      </c>
      <c r="B40" s="15" t="s">
        <v>30</v>
      </c>
      <c r="C40" s="16">
        <v>103973</v>
      </c>
      <c r="D40" s="17">
        <v>24585</v>
      </c>
      <c r="E40" s="19">
        <v>0.23649999999999999</v>
      </c>
      <c r="F40" s="18">
        <v>0.31040000000000001</v>
      </c>
      <c r="G40" s="18">
        <v>0.31290000000000001</v>
      </c>
      <c r="H40" s="18">
        <v>0.30890000000000001</v>
      </c>
      <c r="I40" s="20">
        <v>14693</v>
      </c>
      <c r="J40" s="21">
        <v>5408</v>
      </c>
      <c r="K40" s="21">
        <v>9285</v>
      </c>
      <c r="L40" s="20">
        <v>4560</v>
      </c>
      <c r="M40" s="21">
        <v>1692</v>
      </c>
      <c r="N40" s="21">
        <v>2868</v>
      </c>
      <c r="O40" s="26">
        <v>22.801096491228069</v>
      </c>
      <c r="P40" s="27">
        <v>4560</v>
      </c>
      <c r="Q40" s="27">
        <v>1</v>
      </c>
      <c r="R40" s="28">
        <v>0.31040000000000001</v>
      </c>
      <c r="S40" s="24">
        <v>34315</v>
      </c>
      <c r="T40" s="24">
        <v>69658</v>
      </c>
      <c r="U40" s="19">
        <v>0.33003760589999998</v>
      </c>
      <c r="V40" s="25">
        <v>0.66996239410000002</v>
      </c>
    </row>
    <row r="41" spans="1:22" x14ac:dyDescent="0.2">
      <c r="A41" s="14">
        <v>45809</v>
      </c>
      <c r="B41" s="15" t="s">
        <v>28</v>
      </c>
      <c r="C41" s="16">
        <v>1153194</v>
      </c>
      <c r="D41" s="17">
        <v>287063</v>
      </c>
      <c r="E41" s="18">
        <v>0.24890000000000001</v>
      </c>
      <c r="F41" s="19">
        <v>0.2205</v>
      </c>
      <c r="G41" s="19">
        <v>0.30130000000000001</v>
      </c>
      <c r="H41" s="19">
        <v>0.19010000000000002</v>
      </c>
      <c r="I41" s="20">
        <v>199812</v>
      </c>
      <c r="J41" s="21">
        <v>54623</v>
      </c>
      <c r="K41" s="21">
        <v>145189</v>
      </c>
      <c r="L41" s="20">
        <v>44056</v>
      </c>
      <c r="M41" s="21">
        <v>16459</v>
      </c>
      <c r="N41" s="21">
        <v>27597</v>
      </c>
      <c r="O41" s="22">
        <v>26.18</v>
      </c>
      <c r="P41" s="23">
        <v>49160</v>
      </c>
      <c r="Q41" s="23">
        <v>1.1200000000000001</v>
      </c>
      <c r="R41" s="18">
        <v>0.24600000000000002</v>
      </c>
      <c r="S41" s="24">
        <v>504737</v>
      </c>
      <c r="T41" s="24">
        <v>648457</v>
      </c>
      <c r="U41" s="19">
        <v>0.43768611350000003</v>
      </c>
      <c r="V41" s="25">
        <v>0.56231388650000003</v>
      </c>
    </row>
    <row r="42" spans="1:22" x14ac:dyDescent="0.2">
      <c r="A42" s="14">
        <v>45809</v>
      </c>
      <c r="B42" s="15" t="s">
        <v>29</v>
      </c>
      <c r="C42" s="16">
        <v>148763</v>
      </c>
      <c r="D42" s="17">
        <v>30594</v>
      </c>
      <c r="E42" s="18">
        <v>0.20569999999999999</v>
      </c>
      <c r="F42" s="18">
        <v>0.2472</v>
      </c>
      <c r="G42" s="18">
        <v>0.29210000000000003</v>
      </c>
      <c r="H42" s="18">
        <v>0.21929999999999999</v>
      </c>
      <c r="I42" s="20">
        <v>30323</v>
      </c>
      <c r="J42" s="21">
        <v>11623</v>
      </c>
      <c r="K42" s="21">
        <v>18700</v>
      </c>
      <c r="L42" s="20">
        <v>7495</v>
      </c>
      <c r="M42" s="21">
        <v>3395</v>
      </c>
      <c r="N42" s="21">
        <v>4100</v>
      </c>
      <c r="O42" s="26">
        <v>19.848298865910607</v>
      </c>
      <c r="P42" s="27">
        <v>7495</v>
      </c>
      <c r="Q42" s="27">
        <v>1</v>
      </c>
      <c r="R42" s="28">
        <v>0.2472</v>
      </c>
      <c r="S42" s="24">
        <v>59979</v>
      </c>
      <c r="T42" s="24">
        <v>88784</v>
      </c>
      <c r="U42" s="19">
        <v>0.40318493170000003</v>
      </c>
      <c r="V42" s="25">
        <v>0.59681506829999997</v>
      </c>
    </row>
    <row r="43" spans="1:22" x14ac:dyDescent="0.2">
      <c r="A43" s="14">
        <v>45809</v>
      </c>
      <c r="B43" s="15" t="s">
        <v>30</v>
      </c>
      <c r="C43" s="16">
        <v>100459</v>
      </c>
      <c r="D43" s="17">
        <v>19635</v>
      </c>
      <c r="E43" s="19">
        <v>0.19550000000000001</v>
      </c>
      <c r="F43" s="18">
        <v>0.35680000000000001</v>
      </c>
      <c r="G43" s="18">
        <v>0.3241</v>
      </c>
      <c r="H43" s="18">
        <v>0.38940000000000002</v>
      </c>
      <c r="I43" s="20">
        <v>12252</v>
      </c>
      <c r="J43" s="21">
        <v>6112</v>
      </c>
      <c r="K43" s="21">
        <v>6140</v>
      </c>
      <c r="L43" s="20">
        <v>4372</v>
      </c>
      <c r="M43" s="21">
        <v>1981</v>
      </c>
      <c r="N43" s="21">
        <v>2391</v>
      </c>
      <c r="O43" s="26">
        <v>22.977813357731016</v>
      </c>
      <c r="P43" s="27">
        <v>4372</v>
      </c>
      <c r="Q43" s="27">
        <v>1</v>
      </c>
      <c r="R43" s="28">
        <v>0.35680000000000001</v>
      </c>
      <c r="S43" s="24">
        <v>33845</v>
      </c>
      <c r="T43" s="24">
        <v>66614</v>
      </c>
      <c r="U43" s="19">
        <v>0.3369036124</v>
      </c>
      <c r="V43" s="25">
        <v>0.6630963876</v>
      </c>
    </row>
    <row r="44" spans="1:22" x14ac:dyDescent="0.2">
      <c r="A44" s="14">
        <v>45839</v>
      </c>
      <c r="B44" s="15" t="s">
        <v>28</v>
      </c>
      <c r="C44" s="16">
        <v>1420531</v>
      </c>
      <c r="D44" s="17">
        <v>334195</v>
      </c>
      <c r="E44" s="18">
        <v>0.23530000000000001</v>
      </c>
      <c r="F44" s="19">
        <v>0.2336</v>
      </c>
      <c r="G44" s="19">
        <v>0.30469999999999997</v>
      </c>
      <c r="H44" s="19">
        <v>0.21859999999999999</v>
      </c>
      <c r="I44" s="20">
        <v>244791</v>
      </c>
      <c r="J44" s="21">
        <v>42654</v>
      </c>
      <c r="K44" s="21">
        <v>202137</v>
      </c>
      <c r="L44" s="20">
        <v>57185</v>
      </c>
      <c r="M44" s="21">
        <v>12996</v>
      </c>
      <c r="N44" s="21">
        <v>44189</v>
      </c>
      <c r="O44" s="22">
        <v>24.84</v>
      </c>
      <c r="P44" s="23">
        <v>66691</v>
      </c>
      <c r="Q44" s="23">
        <v>1.17</v>
      </c>
      <c r="R44" s="18">
        <v>0.27239999999999998</v>
      </c>
      <c r="S44" s="24">
        <v>565181</v>
      </c>
      <c r="T44" s="24">
        <v>855067</v>
      </c>
      <c r="U44" s="19">
        <v>0.39794528839999999</v>
      </c>
      <c r="V44" s="25">
        <v>0.60205471160000001</v>
      </c>
    </row>
    <row r="45" spans="1:22" x14ac:dyDescent="0.2">
      <c r="A45" s="14">
        <v>45839</v>
      </c>
      <c r="B45" s="15" t="s">
        <v>29</v>
      </c>
      <c r="C45" s="16">
        <v>175649</v>
      </c>
      <c r="D45" s="17">
        <v>41857</v>
      </c>
      <c r="E45" s="18">
        <v>0.23830000000000001</v>
      </c>
      <c r="F45" s="18">
        <v>0.26119999999999999</v>
      </c>
      <c r="G45" s="18">
        <v>0.29210000000000003</v>
      </c>
      <c r="H45" s="18">
        <v>0.24840000000000001</v>
      </c>
      <c r="I45" s="20">
        <v>34143</v>
      </c>
      <c r="J45" s="21">
        <v>10013</v>
      </c>
      <c r="K45" s="21">
        <v>24130</v>
      </c>
      <c r="L45" s="20">
        <v>8919</v>
      </c>
      <c r="M45" s="21">
        <v>2925</v>
      </c>
      <c r="N45" s="21">
        <v>5994</v>
      </c>
      <c r="O45" s="26">
        <v>19.693799753335576</v>
      </c>
      <c r="P45" s="27">
        <v>8919</v>
      </c>
      <c r="Q45" s="27">
        <v>1</v>
      </c>
      <c r="R45" s="28">
        <v>0.26119999999999999</v>
      </c>
      <c r="S45" s="24">
        <v>65609</v>
      </c>
      <c r="T45" s="24">
        <v>110040</v>
      </c>
      <c r="U45" s="19">
        <v>0.3735233335</v>
      </c>
      <c r="V45" s="25">
        <v>0.6264766665</v>
      </c>
    </row>
    <row r="46" spans="1:22" x14ac:dyDescent="0.2">
      <c r="A46" s="14">
        <v>45839</v>
      </c>
      <c r="B46" s="15" t="s">
        <v>30</v>
      </c>
      <c r="C46" s="16">
        <v>141728</v>
      </c>
      <c r="D46" s="17">
        <v>29887</v>
      </c>
      <c r="E46" s="19">
        <v>0.2109</v>
      </c>
      <c r="F46" s="18">
        <v>0.36120000000000002</v>
      </c>
      <c r="G46" s="18">
        <v>0.2959</v>
      </c>
      <c r="H46" s="18">
        <v>0.38290000000000002</v>
      </c>
      <c r="I46" s="20">
        <v>19326</v>
      </c>
      <c r="J46" s="21">
        <v>4833</v>
      </c>
      <c r="K46" s="21">
        <v>14493</v>
      </c>
      <c r="L46" s="20">
        <v>6980</v>
      </c>
      <c r="M46" s="21">
        <v>1430</v>
      </c>
      <c r="N46" s="21">
        <v>5550</v>
      </c>
      <c r="O46" s="26">
        <v>20.304871060171919</v>
      </c>
      <c r="P46" s="27">
        <v>6980</v>
      </c>
      <c r="Q46" s="27">
        <v>1</v>
      </c>
      <c r="R46" s="28">
        <v>0.36120000000000002</v>
      </c>
      <c r="S46" s="24">
        <v>44249</v>
      </c>
      <c r="T46" s="24">
        <v>97479</v>
      </c>
      <c r="U46" s="19">
        <v>0.31221071350000001</v>
      </c>
      <c r="V46" s="25">
        <v>0.68778928649999993</v>
      </c>
    </row>
    <row r="47" spans="1:22" x14ac:dyDescent="0.2">
      <c r="A47" s="14">
        <v>45870</v>
      </c>
      <c r="B47" s="15" t="s">
        <v>28</v>
      </c>
      <c r="C47" s="16">
        <v>1359264</v>
      </c>
      <c r="D47" s="17">
        <v>320874</v>
      </c>
      <c r="E47" s="18">
        <v>0.2361</v>
      </c>
      <c r="F47" s="19">
        <v>0.24210000000000001</v>
      </c>
      <c r="G47" s="19">
        <v>0.33030000000000004</v>
      </c>
      <c r="H47" s="19">
        <v>0.21739999999999998</v>
      </c>
      <c r="I47" s="20">
        <v>228398</v>
      </c>
      <c r="J47" s="21">
        <v>50012</v>
      </c>
      <c r="K47" s="21">
        <v>178386</v>
      </c>
      <c r="L47" s="20">
        <v>55298</v>
      </c>
      <c r="M47" s="21">
        <v>16518</v>
      </c>
      <c r="N47" s="21">
        <v>38780</v>
      </c>
      <c r="O47" s="22">
        <v>24.58</v>
      </c>
      <c r="P47" s="23">
        <v>63365</v>
      </c>
      <c r="Q47" s="23">
        <v>1.1499999999999999</v>
      </c>
      <c r="R47" s="18">
        <v>0.27739999999999998</v>
      </c>
      <c r="S47" s="24">
        <v>623587</v>
      </c>
      <c r="T47" s="24">
        <v>732632</v>
      </c>
      <c r="U47" s="19">
        <v>0.45979815940000002</v>
      </c>
      <c r="V47" s="25">
        <v>0.54020184059999998</v>
      </c>
    </row>
    <row r="48" spans="1:22" x14ac:dyDescent="0.2">
      <c r="A48" s="14">
        <v>45870</v>
      </c>
      <c r="B48" s="15" t="s">
        <v>29</v>
      </c>
      <c r="C48" s="16">
        <v>138402</v>
      </c>
      <c r="D48" s="17">
        <v>33011</v>
      </c>
      <c r="E48" s="18">
        <v>0.23849999999999999</v>
      </c>
      <c r="F48" s="18">
        <v>0.27329999999999999</v>
      </c>
      <c r="G48" s="18">
        <v>0.3347</v>
      </c>
      <c r="H48" s="18">
        <v>0.23830000000000001</v>
      </c>
      <c r="I48" s="20">
        <v>26750</v>
      </c>
      <c r="J48" s="21">
        <v>9710</v>
      </c>
      <c r="K48" s="21">
        <v>17040</v>
      </c>
      <c r="L48" s="20">
        <v>7310</v>
      </c>
      <c r="M48" s="21">
        <v>3250</v>
      </c>
      <c r="N48" s="21">
        <v>4060</v>
      </c>
      <c r="O48" s="26">
        <v>18.933242134062926</v>
      </c>
      <c r="P48" s="27">
        <v>7310.0000000000009</v>
      </c>
      <c r="Q48" s="27">
        <v>1</v>
      </c>
      <c r="R48" s="28">
        <v>0.27329999999999999</v>
      </c>
      <c r="S48" s="24">
        <v>52608</v>
      </c>
      <c r="T48" s="24">
        <v>85794</v>
      </c>
      <c r="U48" s="19">
        <v>0.380110114</v>
      </c>
      <c r="V48" s="25">
        <v>0.61988988599999995</v>
      </c>
    </row>
    <row r="49" spans="1:22" x14ac:dyDescent="0.2">
      <c r="A49" s="29">
        <v>45870</v>
      </c>
      <c r="B49" s="30" t="s">
        <v>30</v>
      </c>
      <c r="C49" s="31">
        <v>115497</v>
      </c>
      <c r="D49" s="32">
        <v>23860</v>
      </c>
      <c r="E49" s="33">
        <v>0.20660000000000001</v>
      </c>
      <c r="F49" s="34">
        <v>0.37480000000000002</v>
      </c>
      <c r="G49" s="34">
        <v>0.34939999999999999</v>
      </c>
      <c r="H49" s="34">
        <v>0.3896</v>
      </c>
      <c r="I49" s="35">
        <v>14604</v>
      </c>
      <c r="J49" s="36">
        <v>5406</v>
      </c>
      <c r="K49" s="36">
        <v>9198</v>
      </c>
      <c r="L49" s="35">
        <v>5473</v>
      </c>
      <c r="M49" s="36">
        <v>1889</v>
      </c>
      <c r="N49" s="36">
        <v>3584</v>
      </c>
      <c r="O49" s="37">
        <v>21.103051342956331</v>
      </c>
      <c r="P49" s="38">
        <v>5473</v>
      </c>
      <c r="Q49" s="38">
        <v>1</v>
      </c>
      <c r="R49" s="39">
        <v>0.37480000000000002</v>
      </c>
      <c r="S49" s="40">
        <v>42524</v>
      </c>
      <c r="T49" s="40">
        <v>72973</v>
      </c>
      <c r="U49" s="33">
        <v>0.36818272340000002</v>
      </c>
      <c r="V49" s="41">
        <v>0.63181727659999998</v>
      </c>
    </row>
    <row r="50" spans="1:22" x14ac:dyDescent="0.2">
      <c r="C50" s="6"/>
      <c r="D50" s="6"/>
      <c r="E50" s="7"/>
      <c r="F50" s="7"/>
      <c r="G50" s="7"/>
      <c r="H50" s="7"/>
      <c r="O50" s="6"/>
      <c r="R50" s="7"/>
      <c r="S50" s="6"/>
      <c r="T50" s="6"/>
      <c r="U50" s="7"/>
      <c r="V50" s="7"/>
    </row>
    <row r="51" spans="1:22" x14ac:dyDescent="0.2">
      <c r="C51" s="6"/>
      <c r="D51" s="6"/>
      <c r="E51" s="7"/>
      <c r="F51" s="7"/>
      <c r="G51" s="7"/>
      <c r="H51" s="7"/>
      <c r="O51" s="6"/>
      <c r="R51" s="7"/>
      <c r="S51" s="6"/>
      <c r="T51" s="6"/>
      <c r="U51" s="7"/>
      <c r="V51" s="7"/>
    </row>
    <row r="52" spans="1:22" x14ac:dyDescent="0.2">
      <c r="C52" s="6"/>
      <c r="D52" s="6"/>
      <c r="E52" s="7"/>
      <c r="F52" s="7"/>
      <c r="G52" s="7"/>
      <c r="H52" s="7"/>
      <c r="O52" s="6"/>
      <c r="R52" s="7"/>
      <c r="S52" s="6"/>
      <c r="T52" s="6"/>
      <c r="U52" s="7"/>
      <c r="V52" s="7"/>
    </row>
    <row r="53" spans="1:22" x14ac:dyDescent="0.2">
      <c r="C53" s="6"/>
      <c r="D53" s="6"/>
      <c r="E53" s="7"/>
      <c r="F53" s="7"/>
      <c r="G53" s="7"/>
      <c r="H53" s="7"/>
      <c r="O53" s="6"/>
      <c r="R53" s="7"/>
      <c r="S53" s="6"/>
      <c r="T53" s="6"/>
      <c r="U53" s="7"/>
      <c r="V53" s="7"/>
    </row>
    <row r="54" spans="1:22" x14ac:dyDescent="0.2">
      <c r="C54" s="6"/>
      <c r="D54" s="6"/>
      <c r="E54" s="7"/>
      <c r="F54" s="7"/>
      <c r="G54" s="7"/>
      <c r="H54" s="7"/>
      <c r="O54" s="6"/>
      <c r="R54" s="7"/>
      <c r="S54" s="6"/>
      <c r="T54" s="6"/>
      <c r="U54" s="7"/>
      <c r="V54" s="7"/>
    </row>
    <row r="55" spans="1:22" x14ac:dyDescent="0.2">
      <c r="C55" s="6"/>
      <c r="D55" s="6"/>
      <c r="E55" s="7"/>
      <c r="F55" s="7"/>
      <c r="G55" s="7"/>
      <c r="H55" s="7"/>
      <c r="O55" s="6"/>
      <c r="R55" s="7"/>
      <c r="S55" s="6"/>
      <c r="T55" s="6"/>
      <c r="U55" s="7"/>
      <c r="V55" s="7"/>
    </row>
    <row r="56" spans="1:22" x14ac:dyDescent="0.2">
      <c r="C56" s="6"/>
      <c r="D56" s="6"/>
      <c r="E56" s="7"/>
      <c r="F56" s="7"/>
      <c r="G56" s="7"/>
      <c r="H56" s="7"/>
      <c r="O56" s="6"/>
      <c r="R56" s="7"/>
      <c r="S56" s="6"/>
      <c r="T56" s="6"/>
      <c r="U56" s="7"/>
      <c r="V56" s="7"/>
    </row>
    <row r="57" spans="1:22" x14ac:dyDescent="0.2">
      <c r="C57" s="6"/>
      <c r="D57" s="6"/>
      <c r="E57" s="7"/>
      <c r="F57" s="7"/>
      <c r="G57" s="7"/>
      <c r="H57" s="7"/>
      <c r="O57" s="6"/>
      <c r="R57" s="7"/>
      <c r="S57" s="6"/>
      <c r="T57" s="6"/>
      <c r="U57" s="7"/>
      <c r="V57" s="7"/>
    </row>
    <row r="58" spans="1:22" x14ac:dyDescent="0.2">
      <c r="C58" s="6"/>
      <c r="D58" s="6"/>
      <c r="E58" s="7"/>
      <c r="F58" s="7"/>
      <c r="G58" s="7"/>
      <c r="H58" s="7"/>
      <c r="O58" s="6"/>
      <c r="R58" s="7"/>
      <c r="S58" s="6"/>
      <c r="T58" s="6"/>
      <c r="U58" s="7"/>
      <c r="V58" s="7"/>
    </row>
    <row r="59" spans="1:22" x14ac:dyDescent="0.2">
      <c r="C59" s="6"/>
      <c r="D59" s="6"/>
      <c r="E59" s="7"/>
      <c r="F59" s="7"/>
      <c r="G59" s="7"/>
      <c r="H59" s="7"/>
      <c r="O59" s="6"/>
      <c r="R59" s="7"/>
      <c r="S59" s="6"/>
      <c r="T59" s="6"/>
      <c r="U59" s="7"/>
      <c r="V59" s="7"/>
    </row>
    <row r="60" spans="1:22" x14ac:dyDescent="0.2">
      <c r="C60" s="6"/>
      <c r="D60" s="6"/>
      <c r="E60" s="7"/>
      <c r="F60" s="7"/>
      <c r="G60" s="7"/>
      <c r="H60" s="7"/>
      <c r="O60" s="6"/>
      <c r="R60" s="7"/>
      <c r="S60" s="6"/>
      <c r="T60" s="6"/>
      <c r="U60" s="7"/>
      <c r="V60" s="7"/>
    </row>
    <row r="61" spans="1:22" x14ac:dyDescent="0.2">
      <c r="C61" s="6"/>
      <c r="D61" s="6"/>
      <c r="E61" s="7"/>
      <c r="F61" s="7"/>
      <c r="G61" s="7"/>
      <c r="H61" s="7"/>
      <c r="O61" s="6"/>
      <c r="R61" s="7"/>
      <c r="S61" s="6"/>
      <c r="T61" s="6"/>
      <c r="U61" s="7"/>
      <c r="V61" s="7"/>
    </row>
    <row r="62" spans="1:22" x14ac:dyDescent="0.2">
      <c r="C62" s="6"/>
      <c r="D62" s="6"/>
      <c r="E62" s="7"/>
      <c r="F62" s="7"/>
      <c r="G62" s="7"/>
      <c r="H62" s="7"/>
      <c r="O62" s="6"/>
      <c r="R62" s="7"/>
      <c r="S62" s="6"/>
      <c r="T62" s="6"/>
      <c r="U62" s="7"/>
      <c r="V62" s="7"/>
    </row>
    <row r="63" spans="1:22" x14ac:dyDescent="0.2">
      <c r="C63" s="6"/>
      <c r="D63" s="6"/>
      <c r="E63" s="7"/>
      <c r="F63" s="7"/>
      <c r="G63" s="7"/>
      <c r="H63" s="7"/>
      <c r="O63" s="6"/>
      <c r="R63" s="7"/>
      <c r="S63" s="6"/>
      <c r="T63" s="6"/>
      <c r="U63" s="7"/>
      <c r="V63" s="7"/>
    </row>
    <row r="64" spans="1:22" x14ac:dyDescent="0.2">
      <c r="C64" s="6"/>
      <c r="D64" s="6"/>
      <c r="E64" s="7"/>
      <c r="F64" s="7"/>
      <c r="G64" s="7"/>
      <c r="H64" s="7"/>
      <c r="O64" s="6"/>
      <c r="R64" s="7"/>
      <c r="S64" s="6"/>
      <c r="T64" s="6"/>
      <c r="U64" s="7"/>
      <c r="V64" s="7"/>
    </row>
    <row r="65" spans="3:22" x14ac:dyDescent="0.2">
      <c r="C65" s="6"/>
      <c r="D65" s="6"/>
      <c r="E65" s="7"/>
      <c r="F65" s="7"/>
      <c r="G65" s="7"/>
      <c r="H65" s="7"/>
      <c r="O65" s="6"/>
      <c r="R65" s="7"/>
      <c r="S65" s="6"/>
      <c r="T65" s="6"/>
      <c r="U65" s="7"/>
      <c r="V65" s="7"/>
    </row>
    <row r="66" spans="3:22" x14ac:dyDescent="0.2">
      <c r="C66" s="6"/>
      <c r="D66" s="6"/>
      <c r="E66" s="7"/>
      <c r="F66" s="7"/>
      <c r="G66" s="7"/>
      <c r="H66" s="7"/>
      <c r="O66" s="6"/>
      <c r="R66" s="7"/>
      <c r="S66" s="6"/>
      <c r="T66" s="6"/>
      <c r="U66" s="7"/>
      <c r="V66" s="7"/>
    </row>
    <row r="67" spans="3:22" x14ac:dyDescent="0.2">
      <c r="C67" s="6"/>
      <c r="D67" s="6"/>
      <c r="E67" s="7"/>
      <c r="F67" s="7"/>
      <c r="G67" s="7"/>
      <c r="H67" s="7"/>
      <c r="O67" s="6"/>
      <c r="R67" s="7"/>
      <c r="S67" s="6"/>
      <c r="T67" s="6"/>
      <c r="U67" s="7"/>
      <c r="V67" s="7"/>
    </row>
    <row r="68" spans="3:22" x14ac:dyDescent="0.2">
      <c r="C68" s="6"/>
      <c r="D68" s="6"/>
      <c r="E68" s="7"/>
      <c r="F68" s="7"/>
      <c r="G68" s="7"/>
      <c r="H68" s="7"/>
      <c r="O68" s="6"/>
      <c r="R68" s="7"/>
      <c r="S68" s="6"/>
      <c r="T68" s="6"/>
      <c r="U68" s="7"/>
      <c r="V68" s="7"/>
    </row>
    <row r="69" spans="3:22" x14ac:dyDescent="0.2">
      <c r="C69" s="6"/>
      <c r="D69" s="6"/>
      <c r="E69" s="7"/>
      <c r="F69" s="7"/>
      <c r="G69" s="7"/>
      <c r="H69" s="7"/>
      <c r="O69" s="6"/>
      <c r="R69" s="7"/>
      <c r="S69" s="6"/>
      <c r="T69" s="6"/>
      <c r="U69" s="7"/>
      <c r="V69" s="7"/>
    </row>
    <row r="70" spans="3:22" x14ac:dyDescent="0.2">
      <c r="C70" s="6"/>
      <c r="D70" s="6"/>
      <c r="E70" s="7"/>
      <c r="F70" s="7"/>
      <c r="G70" s="7"/>
      <c r="H70" s="7"/>
      <c r="O70" s="6"/>
      <c r="R70" s="7"/>
      <c r="S70" s="6"/>
      <c r="T70" s="6"/>
      <c r="U70" s="7"/>
      <c r="V70" s="7"/>
    </row>
    <row r="71" spans="3:22" x14ac:dyDescent="0.2">
      <c r="C71" s="6"/>
      <c r="D71" s="6"/>
      <c r="E71" s="7"/>
      <c r="F71" s="7"/>
      <c r="G71" s="7"/>
      <c r="H71" s="7"/>
      <c r="O71" s="6"/>
      <c r="R71" s="7"/>
      <c r="S71" s="6"/>
      <c r="T71" s="6"/>
      <c r="U71" s="7"/>
      <c r="V71" s="7"/>
    </row>
    <row r="72" spans="3:22" x14ac:dyDescent="0.2">
      <c r="C72" s="6"/>
      <c r="D72" s="6"/>
      <c r="E72" s="7"/>
      <c r="F72" s="7"/>
      <c r="G72" s="7"/>
      <c r="H72" s="7"/>
      <c r="O72" s="6"/>
      <c r="R72" s="7"/>
      <c r="S72" s="6"/>
      <c r="T72" s="6"/>
      <c r="U72" s="7"/>
      <c r="V72" s="7"/>
    </row>
    <row r="73" spans="3:22" x14ac:dyDescent="0.2">
      <c r="C73" s="6"/>
      <c r="D73" s="6"/>
      <c r="E73" s="7"/>
      <c r="F73" s="7"/>
      <c r="G73" s="7"/>
      <c r="H73" s="7"/>
      <c r="O73" s="6"/>
      <c r="R73" s="7"/>
      <c r="S73" s="6"/>
      <c r="T73" s="6"/>
      <c r="U73" s="7"/>
      <c r="V73" s="7"/>
    </row>
    <row r="74" spans="3:22" x14ac:dyDescent="0.2">
      <c r="C74" s="6"/>
      <c r="D74" s="6"/>
      <c r="E74" s="7"/>
      <c r="F74" s="7"/>
      <c r="G74" s="7"/>
      <c r="H74" s="7"/>
      <c r="O74" s="6"/>
      <c r="R74" s="7"/>
      <c r="S74" s="6"/>
      <c r="T74" s="6"/>
      <c r="U74" s="7"/>
      <c r="V74" s="7"/>
    </row>
    <row r="75" spans="3:22" x14ac:dyDescent="0.2">
      <c r="C75" s="6"/>
      <c r="D75" s="6"/>
      <c r="E75" s="7"/>
      <c r="F75" s="7"/>
      <c r="G75" s="7"/>
      <c r="H75" s="7"/>
      <c r="O75" s="6"/>
      <c r="R75" s="7"/>
      <c r="S75" s="6"/>
      <c r="T75" s="6"/>
      <c r="U75" s="7"/>
      <c r="V75" s="7"/>
    </row>
    <row r="76" spans="3:22" x14ac:dyDescent="0.2">
      <c r="C76" s="6"/>
      <c r="D76" s="6"/>
      <c r="E76" s="7"/>
      <c r="F76" s="7"/>
      <c r="G76" s="7"/>
      <c r="H76" s="7"/>
      <c r="O76" s="6"/>
      <c r="R76" s="7"/>
      <c r="S76" s="6"/>
      <c r="T76" s="6"/>
      <c r="U76" s="7"/>
      <c r="V76" s="7"/>
    </row>
    <row r="77" spans="3:22" x14ac:dyDescent="0.2">
      <c r="C77" s="6"/>
      <c r="D77" s="6"/>
      <c r="E77" s="7"/>
      <c r="F77" s="7"/>
      <c r="G77" s="7"/>
      <c r="H77" s="7"/>
      <c r="O77" s="6"/>
      <c r="R77" s="7"/>
      <c r="S77" s="6"/>
      <c r="T77" s="6"/>
      <c r="U77" s="7"/>
      <c r="V77" s="7"/>
    </row>
    <row r="78" spans="3:22" x14ac:dyDescent="0.2">
      <c r="C78" s="6"/>
      <c r="D78" s="6"/>
      <c r="E78" s="7"/>
      <c r="F78" s="7"/>
      <c r="G78" s="7"/>
      <c r="H78" s="7"/>
      <c r="O78" s="6"/>
      <c r="R78" s="7"/>
      <c r="S78" s="6"/>
      <c r="T78" s="6"/>
      <c r="U78" s="7"/>
      <c r="V78" s="7"/>
    </row>
    <row r="79" spans="3:22" x14ac:dyDescent="0.2">
      <c r="C79" s="6"/>
      <c r="D79" s="6"/>
      <c r="E79" s="7"/>
      <c r="F79" s="7"/>
      <c r="G79" s="7"/>
      <c r="H79" s="7"/>
      <c r="O79" s="6"/>
      <c r="R79" s="7"/>
      <c r="S79" s="6"/>
      <c r="T79" s="6"/>
      <c r="U79" s="7"/>
      <c r="V79" s="7"/>
    </row>
    <row r="80" spans="3:22" x14ac:dyDescent="0.2">
      <c r="C80" s="6"/>
      <c r="D80" s="6"/>
      <c r="E80" s="7"/>
      <c r="F80" s="7"/>
      <c r="G80" s="7"/>
      <c r="H80" s="7"/>
      <c r="O80" s="6"/>
      <c r="R80" s="7"/>
      <c r="S80" s="6"/>
      <c r="T80" s="6"/>
      <c r="U80" s="7"/>
      <c r="V80" s="7"/>
    </row>
    <row r="81" spans="3:22" x14ac:dyDescent="0.2">
      <c r="C81" s="6"/>
      <c r="D81" s="6"/>
      <c r="E81" s="7"/>
      <c r="F81" s="7"/>
      <c r="G81" s="7"/>
      <c r="H81" s="7"/>
      <c r="O81" s="6"/>
      <c r="R81" s="7"/>
      <c r="S81" s="6"/>
      <c r="T81" s="6"/>
      <c r="U81" s="7"/>
      <c r="V81" s="7"/>
    </row>
    <row r="82" spans="3:22" x14ac:dyDescent="0.2">
      <c r="C82" s="6"/>
      <c r="D82" s="6"/>
      <c r="E82" s="7"/>
      <c r="F82" s="7"/>
      <c r="G82" s="7"/>
      <c r="H82" s="7"/>
      <c r="O82" s="6"/>
      <c r="R82" s="7"/>
      <c r="S82" s="6"/>
      <c r="T82" s="6"/>
      <c r="U82" s="7"/>
      <c r="V82" s="7"/>
    </row>
    <row r="83" spans="3:22" x14ac:dyDescent="0.2">
      <c r="C83" s="6"/>
      <c r="D83" s="6"/>
      <c r="E83" s="7"/>
      <c r="F83" s="7"/>
      <c r="G83" s="7"/>
      <c r="H83" s="7"/>
      <c r="O83" s="6"/>
      <c r="R83" s="7"/>
      <c r="S83" s="6"/>
      <c r="T83" s="6"/>
      <c r="U83" s="7"/>
      <c r="V83" s="7"/>
    </row>
    <row r="84" spans="3:22" x14ac:dyDescent="0.2">
      <c r="C84" s="6"/>
      <c r="D84" s="6"/>
      <c r="E84" s="7"/>
      <c r="F84" s="7"/>
      <c r="G84" s="7"/>
      <c r="H84" s="7"/>
      <c r="O84" s="6"/>
      <c r="R84" s="7"/>
      <c r="S84" s="6"/>
      <c r="T84" s="6"/>
      <c r="U84" s="7"/>
      <c r="V84" s="7"/>
    </row>
    <row r="85" spans="3:22" x14ac:dyDescent="0.2">
      <c r="C85" s="6"/>
      <c r="D85" s="6"/>
      <c r="E85" s="7"/>
      <c r="F85" s="7"/>
      <c r="G85" s="7"/>
      <c r="H85" s="7"/>
      <c r="O85" s="6"/>
      <c r="R85" s="7"/>
      <c r="S85" s="6"/>
      <c r="T85" s="6"/>
      <c r="U85" s="7"/>
      <c r="V85" s="7"/>
    </row>
    <row r="86" spans="3:22" x14ac:dyDescent="0.2">
      <c r="C86" s="6"/>
      <c r="D86" s="6"/>
      <c r="E86" s="7"/>
      <c r="F86" s="7"/>
      <c r="G86" s="7"/>
      <c r="H86" s="7"/>
      <c r="O86" s="6"/>
      <c r="R86" s="7"/>
      <c r="S86" s="6"/>
      <c r="T86" s="6"/>
      <c r="U86" s="7"/>
      <c r="V86" s="7"/>
    </row>
    <row r="87" spans="3:22" x14ac:dyDescent="0.2">
      <c r="C87" s="6"/>
      <c r="D87" s="6"/>
      <c r="E87" s="7"/>
      <c r="F87" s="7"/>
      <c r="G87" s="7"/>
      <c r="H87" s="7"/>
      <c r="O87" s="6"/>
      <c r="R87" s="7"/>
      <c r="S87" s="6"/>
      <c r="T87" s="6"/>
      <c r="U87" s="7"/>
      <c r="V87" s="7"/>
    </row>
    <row r="88" spans="3:22" x14ac:dyDescent="0.2">
      <c r="C88" s="6"/>
      <c r="D88" s="6"/>
      <c r="E88" s="7"/>
      <c r="F88" s="7"/>
      <c r="G88" s="7"/>
      <c r="H88" s="7"/>
      <c r="O88" s="6"/>
      <c r="R88" s="7"/>
      <c r="S88" s="6"/>
      <c r="T88" s="6"/>
      <c r="U88" s="7"/>
      <c r="V88" s="7"/>
    </row>
    <row r="89" spans="3:22" x14ac:dyDescent="0.2">
      <c r="C89" s="6"/>
      <c r="D89" s="6"/>
      <c r="E89" s="7"/>
      <c r="F89" s="7"/>
      <c r="G89" s="7"/>
      <c r="H89" s="7"/>
      <c r="O89" s="6"/>
      <c r="R89" s="7"/>
      <c r="S89" s="6"/>
      <c r="T89" s="6"/>
      <c r="U89" s="7"/>
      <c r="V89" s="7"/>
    </row>
    <row r="90" spans="3:22" x14ac:dyDescent="0.2">
      <c r="C90" s="6"/>
      <c r="D90" s="6"/>
      <c r="E90" s="7"/>
      <c r="F90" s="7"/>
      <c r="G90" s="7"/>
      <c r="H90" s="7"/>
      <c r="O90" s="6"/>
      <c r="R90" s="7"/>
      <c r="S90" s="6"/>
      <c r="T90" s="6"/>
      <c r="U90" s="7"/>
      <c r="V90" s="7"/>
    </row>
    <row r="91" spans="3:22" x14ac:dyDescent="0.2">
      <c r="C91" s="6"/>
      <c r="D91" s="6"/>
      <c r="E91" s="7"/>
      <c r="F91" s="7"/>
      <c r="G91" s="7"/>
      <c r="H91" s="7"/>
      <c r="O91" s="6"/>
      <c r="R91" s="7"/>
      <c r="S91" s="6"/>
      <c r="T91" s="6"/>
      <c r="U91" s="7"/>
      <c r="V91" s="7"/>
    </row>
    <row r="92" spans="3:22" x14ac:dyDescent="0.2">
      <c r="C92" s="6"/>
      <c r="D92" s="6"/>
      <c r="E92" s="7"/>
      <c r="F92" s="7"/>
      <c r="G92" s="7"/>
      <c r="H92" s="7"/>
      <c r="O92" s="6"/>
      <c r="R92" s="7"/>
      <c r="S92" s="6"/>
      <c r="T92" s="6"/>
      <c r="U92" s="7"/>
      <c r="V92" s="7"/>
    </row>
    <row r="93" spans="3:22" x14ac:dyDescent="0.2">
      <c r="C93" s="6"/>
      <c r="D93" s="6"/>
      <c r="E93" s="7"/>
      <c r="F93" s="7"/>
      <c r="G93" s="7"/>
      <c r="H93" s="7"/>
      <c r="O93" s="6"/>
      <c r="R93" s="7"/>
      <c r="S93" s="6"/>
      <c r="T93" s="6"/>
      <c r="U93" s="7"/>
      <c r="V93" s="7"/>
    </row>
    <row r="94" spans="3:22" x14ac:dyDescent="0.2">
      <c r="C94" s="6"/>
      <c r="D94" s="6"/>
      <c r="E94" s="7"/>
      <c r="F94" s="7"/>
      <c r="G94" s="7"/>
      <c r="H94" s="7"/>
      <c r="O94" s="6"/>
      <c r="R94" s="7"/>
      <c r="S94" s="6"/>
      <c r="T94" s="6"/>
      <c r="U94" s="7"/>
      <c r="V94" s="7"/>
    </row>
    <row r="95" spans="3:22" x14ac:dyDescent="0.2">
      <c r="C95" s="6"/>
      <c r="D95" s="6"/>
      <c r="E95" s="7"/>
      <c r="F95" s="7"/>
      <c r="G95" s="7"/>
      <c r="H95" s="7"/>
      <c r="O95" s="6"/>
      <c r="R95" s="7"/>
      <c r="S95" s="6"/>
      <c r="T95" s="6"/>
      <c r="U95" s="7"/>
      <c r="V95" s="7"/>
    </row>
    <row r="96" spans="3:22" x14ac:dyDescent="0.2">
      <c r="C96" s="6"/>
      <c r="D96" s="6"/>
      <c r="E96" s="7"/>
      <c r="F96" s="7"/>
      <c r="G96" s="7"/>
      <c r="H96" s="7"/>
      <c r="O96" s="6"/>
      <c r="R96" s="7"/>
      <c r="S96" s="6"/>
      <c r="T96" s="6"/>
      <c r="U96" s="7"/>
      <c r="V96" s="7"/>
    </row>
    <row r="97" spans="3:22" x14ac:dyDescent="0.2">
      <c r="C97" s="6"/>
      <c r="D97" s="6"/>
      <c r="E97" s="7"/>
      <c r="F97" s="7"/>
      <c r="G97" s="7"/>
      <c r="H97" s="7"/>
      <c r="O97" s="6"/>
      <c r="R97" s="7"/>
      <c r="S97" s="6"/>
      <c r="T97" s="6"/>
      <c r="U97" s="7"/>
      <c r="V97" s="7"/>
    </row>
    <row r="98" spans="3:22" x14ac:dyDescent="0.2">
      <c r="C98" s="6"/>
      <c r="D98" s="6"/>
      <c r="E98" s="7"/>
      <c r="F98" s="7"/>
      <c r="G98" s="7"/>
      <c r="H98" s="7"/>
      <c r="O98" s="6"/>
      <c r="R98" s="7"/>
      <c r="S98" s="6"/>
      <c r="T98" s="6"/>
      <c r="U98" s="7"/>
      <c r="V98" s="7"/>
    </row>
    <row r="99" spans="3:22" x14ac:dyDescent="0.2">
      <c r="C99" s="6"/>
      <c r="D99" s="6"/>
      <c r="E99" s="7"/>
      <c r="F99" s="7"/>
      <c r="G99" s="7"/>
      <c r="H99" s="7"/>
      <c r="O99" s="6"/>
      <c r="R99" s="7"/>
      <c r="S99" s="6"/>
      <c r="T99" s="6"/>
      <c r="U99" s="7"/>
      <c r="V99" s="7"/>
    </row>
    <row r="100" spans="3:22" x14ac:dyDescent="0.2">
      <c r="C100" s="6"/>
      <c r="D100" s="6"/>
      <c r="E100" s="7"/>
      <c r="F100" s="7"/>
      <c r="G100" s="7"/>
      <c r="H100" s="7"/>
      <c r="O100" s="6"/>
      <c r="R100" s="7"/>
      <c r="S100" s="6"/>
      <c r="T100" s="6"/>
      <c r="U100" s="7"/>
      <c r="V100" s="7"/>
    </row>
    <row r="101" spans="3:22" x14ac:dyDescent="0.2">
      <c r="C101" s="6"/>
      <c r="D101" s="6"/>
      <c r="E101" s="7"/>
      <c r="F101" s="7"/>
      <c r="G101" s="7"/>
      <c r="H101" s="7"/>
      <c r="O101" s="6"/>
      <c r="R101" s="7"/>
      <c r="S101" s="6"/>
      <c r="T101" s="6"/>
      <c r="U101" s="7"/>
      <c r="V101" s="7"/>
    </row>
    <row r="102" spans="3:22" x14ac:dyDescent="0.2">
      <c r="C102" s="6"/>
      <c r="D102" s="6"/>
      <c r="E102" s="7"/>
      <c r="F102" s="7"/>
      <c r="G102" s="7"/>
      <c r="H102" s="7"/>
      <c r="O102" s="6"/>
      <c r="R102" s="7"/>
      <c r="S102" s="6"/>
      <c r="T102" s="6"/>
      <c r="U102" s="7"/>
      <c r="V102" s="7"/>
    </row>
    <row r="103" spans="3:22" x14ac:dyDescent="0.2">
      <c r="C103" s="6"/>
      <c r="D103" s="6"/>
      <c r="E103" s="7"/>
      <c r="F103" s="7"/>
      <c r="G103" s="7"/>
      <c r="H103" s="7"/>
      <c r="O103" s="6"/>
      <c r="R103" s="7"/>
      <c r="S103" s="6"/>
      <c r="T103" s="6"/>
      <c r="U103" s="7"/>
      <c r="V103" s="7"/>
    </row>
    <row r="104" spans="3:22" x14ac:dyDescent="0.2">
      <c r="C104" s="6"/>
      <c r="D104" s="6"/>
      <c r="E104" s="7"/>
      <c r="F104" s="7"/>
      <c r="G104" s="7"/>
      <c r="H104" s="7"/>
      <c r="O104" s="6"/>
      <c r="R104" s="7"/>
      <c r="S104" s="6"/>
      <c r="T104" s="6"/>
      <c r="U104" s="7"/>
      <c r="V104" s="7"/>
    </row>
    <row r="105" spans="3:22" x14ac:dyDescent="0.2">
      <c r="C105" s="6"/>
      <c r="D105" s="6"/>
      <c r="E105" s="7"/>
      <c r="F105" s="7"/>
      <c r="G105" s="7"/>
      <c r="H105" s="7"/>
      <c r="O105" s="6"/>
      <c r="R105" s="7"/>
      <c r="S105" s="6"/>
      <c r="T105" s="6"/>
      <c r="U105" s="7"/>
      <c r="V105" s="7"/>
    </row>
    <row r="106" spans="3:22" x14ac:dyDescent="0.2">
      <c r="C106" s="6"/>
      <c r="D106" s="6"/>
      <c r="E106" s="7"/>
      <c r="F106" s="7"/>
      <c r="G106" s="7"/>
      <c r="H106" s="7"/>
      <c r="O106" s="6"/>
      <c r="R106" s="7"/>
      <c r="S106" s="6"/>
      <c r="T106" s="6"/>
      <c r="U106" s="7"/>
      <c r="V106" s="7"/>
    </row>
    <row r="107" spans="3:22" x14ac:dyDescent="0.2">
      <c r="C107" s="6"/>
      <c r="D107" s="6"/>
      <c r="E107" s="7"/>
      <c r="F107" s="7"/>
      <c r="G107" s="7"/>
      <c r="H107" s="7"/>
      <c r="O107" s="6"/>
      <c r="R107" s="7"/>
      <c r="S107" s="6"/>
      <c r="T107" s="6"/>
      <c r="U107" s="7"/>
      <c r="V107" s="7"/>
    </row>
    <row r="108" spans="3:22" x14ac:dyDescent="0.2">
      <c r="C108" s="6"/>
      <c r="D108" s="6"/>
      <c r="E108" s="7"/>
      <c r="F108" s="7"/>
      <c r="G108" s="7"/>
      <c r="H108" s="7"/>
      <c r="O108" s="6"/>
      <c r="R108" s="7"/>
      <c r="S108" s="6"/>
      <c r="T108" s="6"/>
      <c r="U108" s="7"/>
      <c r="V108" s="7"/>
    </row>
    <row r="109" spans="3:22" x14ac:dyDescent="0.2">
      <c r="C109" s="6"/>
      <c r="D109" s="6"/>
      <c r="E109" s="7"/>
      <c r="F109" s="7"/>
      <c r="G109" s="7"/>
      <c r="H109" s="7"/>
      <c r="O109" s="6"/>
      <c r="R109" s="7"/>
      <c r="S109" s="6"/>
      <c r="T109" s="6"/>
      <c r="U109" s="7"/>
      <c r="V109" s="7"/>
    </row>
    <row r="110" spans="3:22" x14ac:dyDescent="0.2">
      <c r="C110" s="6"/>
      <c r="D110" s="6"/>
      <c r="E110" s="7"/>
      <c r="F110" s="7"/>
      <c r="G110" s="7"/>
      <c r="H110" s="7"/>
      <c r="O110" s="6"/>
      <c r="R110" s="7"/>
      <c r="S110" s="6"/>
      <c r="T110" s="6"/>
      <c r="U110" s="7"/>
      <c r="V110" s="7"/>
    </row>
    <row r="111" spans="3:22" x14ac:dyDescent="0.2">
      <c r="C111" s="6"/>
      <c r="D111" s="6"/>
      <c r="E111" s="7"/>
      <c r="F111" s="7"/>
      <c r="G111" s="7"/>
      <c r="H111" s="7"/>
      <c r="O111" s="6"/>
      <c r="R111" s="7"/>
      <c r="S111" s="6"/>
      <c r="T111" s="6"/>
      <c r="U111" s="7"/>
      <c r="V111" s="7"/>
    </row>
    <row r="112" spans="3:22" x14ac:dyDescent="0.2">
      <c r="C112" s="6"/>
      <c r="D112" s="6"/>
      <c r="E112" s="7"/>
      <c r="F112" s="7"/>
      <c r="G112" s="7"/>
      <c r="H112" s="7"/>
      <c r="O112" s="6"/>
      <c r="R112" s="7"/>
      <c r="S112" s="6"/>
      <c r="T112" s="6"/>
      <c r="U112" s="7"/>
      <c r="V112" s="7"/>
    </row>
    <row r="113" spans="3:22" x14ac:dyDescent="0.2">
      <c r="C113" s="6"/>
      <c r="D113" s="6"/>
      <c r="E113" s="7"/>
      <c r="F113" s="7"/>
      <c r="G113" s="7"/>
      <c r="H113" s="7"/>
      <c r="O113" s="6"/>
      <c r="R113" s="7"/>
      <c r="S113" s="6"/>
      <c r="T113" s="6"/>
      <c r="U113" s="7"/>
      <c r="V113" s="7"/>
    </row>
    <row r="114" spans="3:22" x14ac:dyDescent="0.2">
      <c r="C114" s="6"/>
      <c r="D114" s="6"/>
      <c r="E114" s="7"/>
      <c r="F114" s="7"/>
      <c r="G114" s="7"/>
      <c r="H114" s="7"/>
      <c r="O114" s="6"/>
      <c r="R114" s="7"/>
      <c r="S114" s="6"/>
      <c r="T114" s="6"/>
      <c r="U114" s="7"/>
      <c r="V114" s="7"/>
    </row>
    <row r="115" spans="3:22" x14ac:dyDescent="0.2">
      <c r="C115" s="6"/>
      <c r="D115" s="6"/>
      <c r="E115" s="7"/>
      <c r="F115" s="7"/>
      <c r="G115" s="7"/>
      <c r="H115" s="7"/>
      <c r="O115" s="6"/>
      <c r="R115" s="7"/>
      <c r="S115" s="6"/>
      <c r="T115" s="6"/>
      <c r="U115" s="7"/>
      <c r="V115" s="7"/>
    </row>
    <row r="116" spans="3:22" x14ac:dyDescent="0.2">
      <c r="C116" s="6"/>
      <c r="D116" s="6"/>
      <c r="E116" s="7"/>
      <c r="F116" s="7"/>
      <c r="G116" s="7"/>
      <c r="H116" s="7"/>
      <c r="O116" s="6"/>
      <c r="R116" s="7"/>
      <c r="S116" s="6"/>
      <c r="T116" s="6"/>
      <c r="U116" s="7"/>
      <c r="V116" s="7"/>
    </row>
    <row r="117" spans="3:22" x14ac:dyDescent="0.2">
      <c r="C117" s="6"/>
      <c r="D117" s="6"/>
      <c r="E117" s="7"/>
      <c r="F117" s="7"/>
      <c r="G117" s="7"/>
      <c r="H117" s="7"/>
      <c r="O117" s="6"/>
      <c r="R117" s="7"/>
      <c r="S117" s="6"/>
      <c r="T117" s="6"/>
      <c r="U117" s="7"/>
      <c r="V117" s="7"/>
    </row>
    <row r="118" spans="3:22" x14ac:dyDescent="0.2">
      <c r="C118" s="6"/>
      <c r="D118" s="6"/>
      <c r="E118" s="7"/>
      <c r="F118" s="7"/>
      <c r="G118" s="7"/>
      <c r="H118" s="7"/>
      <c r="O118" s="6"/>
      <c r="R118" s="7"/>
      <c r="S118" s="6"/>
      <c r="T118" s="6"/>
      <c r="U118" s="7"/>
      <c r="V118" s="7"/>
    </row>
    <row r="119" spans="3:22" x14ac:dyDescent="0.2">
      <c r="C119" s="6"/>
      <c r="D119" s="6"/>
      <c r="E119" s="7"/>
      <c r="F119" s="7"/>
      <c r="G119" s="7"/>
      <c r="H119" s="7"/>
      <c r="O119" s="6"/>
      <c r="R119" s="7"/>
      <c r="S119" s="6"/>
      <c r="T119" s="6"/>
      <c r="U119" s="7"/>
      <c r="V119" s="7"/>
    </row>
    <row r="120" spans="3:22" x14ac:dyDescent="0.2">
      <c r="C120" s="6"/>
      <c r="D120" s="6"/>
      <c r="E120" s="7"/>
      <c r="F120" s="7"/>
      <c r="G120" s="7"/>
      <c r="H120" s="7"/>
      <c r="O120" s="6"/>
      <c r="R120" s="7"/>
      <c r="S120" s="6"/>
      <c r="T120" s="6"/>
      <c r="U120" s="7"/>
      <c r="V120" s="7"/>
    </row>
    <row r="121" spans="3:22" x14ac:dyDescent="0.2">
      <c r="C121" s="6"/>
      <c r="D121" s="6"/>
      <c r="E121" s="7"/>
      <c r="F121" s="7"/>
      <c r="G121" s="7"/>
      <c r="H121" s="7"/>
      <c r="O121" s="6"/>
      <c r="R121" s="7"/>
      <c r="S121" s="6"/>
      <c r="T121" s="6"/>
      <c r="U121" s="7"/>
      <c r="V121" s="7"/>
    </row>
    <row r="122" spans="3:22" x14ac:dyDescent="0.2">
      <c r="C122" s="6"/>
      <c r="D122" s="6"/>
      <c r="E122" s="7"/>
      <c r="F122" s="7"/>
      <c r="G122" s="7"/>
      <c r="H122" s="7"/>
      <c r="O122" s="6"/>
      <c r="R122" s="7"/>
      <c r="S122" s="6"/>
      <c r="T122" s="6"/>
      <c r="U122" s="7"/>
      <c r="V122" s="7"/>
    </row>
    <row r="123" spans="3:22" x14ac:dyDescent="0.2">
      <c r="C123" s="6"/>
      <c r="D123" s="6"/>
      <c r="E123" s="7"/>
      <c r="F123" s="7"/>
      <c r="G123" s="7"/>
      <c r="H123" s="7"/>
      <c r="O123" s="6"/>
      <c r="R123" s="7"/>
      <c r="S123" s="6"/>
      <c r="T123" s="6"/>
      <c r="U123" s="7"/>
      <c r="V123" s="7"/>
    </row>
    <row r="124" spans="3:22" x14ac:dyDescent="0.2">
      <c r="C124" s="6"/>
      <c r="D124" s="6"/>
      <c r="E124" s="7"/>
      <c r="F124" s="7"/>
      <c r="G124" s="7"/>
      <c r="H124" s="7"/>
      <c r="O124" s="6"/>
      <c r="R124" s="7"/>
      <c r="S124" s="6"/>
      <c r="T124" s="6"/>
      <c r="U124" s="7"/>
      <c r="V124" s="7"/>
    </row>
    <row r="125" spans="3:22" x14ac:dyDescent="0.2">
      <c r="C125" s="6"/>
      <c r="D125" s="6"/>
      <c r="E125" s="7"/>
      <c r="F125" s="7"/>
      <c r="G125" s="7"/>
      <c r="H125" s="7"/>
      <c r="O125" s="6"/>
      <c r="R125" s="7"/>
      <c r="S125" s="6"/>
      <c r="T125" s="6"/>
      <c r="U125" s="7"/>
      <c r="V125" s="7"/>
    </row>
    <row r="126" spans="3:22" x14ac:dyDescent="0.2">
      <c r="C126" s="6"/>
      <c r="D126" s="6"/>
      <c r="E126" s="7"/>
      <c r="F126" s="7"/>
      <c r="G126" s="7"/>
      <c r="H126" s="7"/>
      <c r="O126" s="6"/>
      <c r="R126" s="7"/>
      <c r="S126" s="6"/>
      <c r="T126" s="6"/>
      <c r="U126" s="7"/>
      <c r="V126" s="7"/>
    </row>
    <row r="127" spans="3:22" x14ac:dyDescent="0.2">
      <c r="C127" s="6"/>
      <c r="D127" s="6"/>
      <c r="E127" s="7"/>
      <c r="F127" s="7"/>
      <c r="G127" s="7"/>
      <c r="H127" s="7"/>
      <c r="O127" s="6"/>
      <c r="R127" s="7"/>
      <c r="S127" s="6"/>
      <c r="T127" s="6"/>
      <c r="U127" s="7"/>
      <c r="V127" s="7"/>
    </row>
    <row r="128" spans="3:22" x14ac:dyDescent="0.2">
      <c r="C128" s="6"/>
      <c r="D128" s="6"/>
      <c r="E128" s="7"/>
      <c r="F128" s="7"/>
      <c r="G128" s="7"/>
      <c r="H128" s="7"/>
      <c r="O128" s="6"/>
      <c r="R128" s="7"/>
      <c r="S128" s="6"/>
      <c r="T128" s="6"/>
      <c r="U128" s="7"/>
      <c r="V128" s="7"/>
    </row>
    <row r="129" spans="3:22" x14ac:dyDescent="0.2">
      <c r="C129" s="6"/>
      <c r="D129" s="6"/>
      <c r="E129" s="7"/>
      <c r="F129" s="7"/>
      <c r="G129" s="7"/>
      <c r="H129" s="7"/>
      <c r="O129" s="6"/>
      <c r="R129" s="7"/>
      <c r="S129" s="6"/>
      <c r="T129" s="6"/>
      <c r="U129" s="7"/>
      <c r="V129" s="7"/>
    </row>
    <row r="130" spans="3:22" x14ac:dyDescent="0.2">
      <c r="C130" s="6"/>
      <c r="D130" s="6"/>
      <c r="E130" s="7"/>
      <c r="F130" s="7"/>
      <c r="G130" s="7"/>
      <c r="H130" s="7"/>
      <c r="O130" s="6"/>
      <c r="R130" s="7"/>
      <c r="S130" s="6"/>
      <c r="T130" s="6"/>
      <c r="U130" s="7"/>
      <c r="V130" s="7"/>
    </row>
    <row r="131" spans="3:22" x14ac:dyDescent="0.2">
      <c r="C131" s="6"/>
      <c r="D131" s="6"/>
      <c r="E131" s="7"/>
      <c r="F131" s="7"/>
      <c r="G131" s="7"/>
      <c r="H131" s="7"/>
      <c r="O131" s="6"/>
      <c r="R131" s="7"/>
      <c r="S131" s="6"/>
      <c r="T131" s="6"/>
      <c r="U131" s="7"/>
      <c r="V131" s="7"/>
    </row>
    <row r="132" spans="3:22" x14ac:dyDescent="0.2">
      <c r="C132" s="6"/>
      <c r="D132" s="6"/>
      <c r="E132" s="7"/>
      <c r="F132" s="7"/>
      <c r="G132" s="7"/>
      <c r="H132" s="7"/>
      <c r="O132" s="6"/>
      <c r="R132" s="7"/>
      <c r="S132" s="6"/>
      <c r="T132" s="6"/>
      <c r="U132" s="7"/>
      <c r="V132" s="7"/>
    </row>
    <row r="133" spans="3:22" x14ac:dyDescent="0.2">
      <c r="C133" s="6"/>
      <c r="D133" s="6"/>
      <c r="E133" s="7"/>
      <c r="F133" s="7"/>
      <c r="G133" s="7"/>
      <c r="H133" s="7"/>
      <c r="O133" s="6"/>
      <c r="R133" s="7"/>
      <c r="S133" s="6"/>
      <c r="T133" s="6"/>
      <c r="U133" s="7"/>
      <c r="V133" s="7"/>
    </row>
    <row r="134" spans="3:22" x14ac:dyDescent="0.2">
      <c r="C134" s="6"/>
      <c r="D134" s="6"/>
      <c r="E134" s="7"/>
      <c r="F134" s="7"/>
      <c r="G134" s="7"/>
      <c r="H134" s="7"/>
      <c r="O134" s="6"/>
      <c r="R134" s="7"/>
      <c r="S134" s="6"/>
      <c r="T134" s="6"/>
      <c r="U134" s="7"/>
      <c r="V134" s="7"/>
    </row>
    <row r="135" spans="3:22" x14ac:dyDescent="0.2">
      <c r="C135" s="6"/>
      <c r="D135" s="6"/>
      <c r="E135" s="7"/>
      <c r="F135" s="7"/>
      <c r="G135" s="7"/>
      <c r="H135" s="7"/>
      <c r="O135" s="6"/>
      <c r="R135" s="7"/>
      <c r="S135" s="6"/>
      <c r="T135" s="6"/>
      <c r="U135" s="7"/>
      <c r="V135" s="7"/>
    </row>
    <row r="136" spans="3:22" x14ac:dyDescent="0.2">
      <c r="C136" s="6"/>
      <c r="D136" s="6"/>
      <c r="E136" s="7"/>
      <c r="F136" s="7"/>
      <c r="G136" s="7"/>
      <c r="H136" s="7"/>
      <c r="O136" s="6"/>
      <c r="R136" s="7"/>
      <c r="S136" s="6"/>
      <c r="T136" s="6"/>
      <c r="U136" s="7"/>
      <c r="V136" s="7"/>
    </row>
    <row r="137" spans="3:22" x14ac:dyDescent="0.2">
      <c r="C137" s="6"/>
      <c r="D137" s="6"/>
      <c r="E137" s="7"/>
      <c r="F137" s="7"/>
      <c r="G137" s="7"/>
      <c r="H137" s="7"/>
      <c r="O137" s="6"/>
      <c r="R137" s="7"/>
      <c r="S137" s="6"/>
      <c r="T137" s="6"/>
      <c r="U137" s="7"/>
      <c r="V137" s="7"/>
    </row>
    <row r="138" spans="3:22" x14ac:dyDescent="0.2">
      <c r="C138" s="6"/>
      <c r="D138" s="6"/>
      <c r="E138" s="7"/>
      <c r="F138" s="7"/>
      <c r="G138" s="7"/>
      <c r="H138" s="7"/>
      <c r="O138" s="6"/>
      <c r="R138" s="7"/>
      <c r="S138" s="6"/>
      <c r="T138" s="6"/>
      <c r="U138" s="7"/>
      <c r="V138" s="7"/>
    </row>
    <row r="139" spans="3:22" x14ac:dyDescent="0.2">
      <c r="C139" s="6"/>
      <c r="D139" s="6"/>
      <c r="E139" s="7"/>
      <c r="F139" s="7"/>
      <c r="G139" s="7"/>
      <c r="H139" s="7"/>
      <c r="O139" s="6"/>
      <c r="R139" s="7"/>
      <c r="S139" s="6"/>
      <c r="T139" s="6"/>
      <c r="U139" s="7"/>
      <c r="V139" s="7"/>
    </row>
    <row r="140" spans="3:22" x14ac:dyDescent="0.2">
      <c r="C140" s="6"/>
      <c r="D140" s="6"/>
      <c r="E140" s="7"/>
      <c r="F140" s="7"/>
      <c r="G140" s="7"/>
      <c r="H140" s="7"/>
      <c r="O140" s="6"/>
      <c r="R140" s="7"/>
      <c r="S140" s="6"/>
      <c r="T140" s="6"/>
      <c r="U140" s="7"/>
      <c r="V140" s="7"/>
    </row>
    <row r="141" spans="3:22" x14ac:dyDescent="0.2">
      <c r="C141" s="6"/>
      <c r="D141" s="6"/>
      <c r="E141" s="7"/>
      <c r="F141" s="7"/>
      <c r="G141" s="7"/>
      <c r="H141" s="7"/>
      <c r="O141" s="6"/>
      <c r="R141" s="7"/>
      <c r="S141" s="6"/>
      <c r="T141" s="6"/>
      <c r="U141" s="7"/>
      <c r="V141" s="7"/>
    </row>
    <row r="142" spans="3:22" x14ac:dyDescent="0.2">
      <c r="C142" s="6"/>
      <c r="D142" s="6"/>
      <c r="E142" s="7"/>
      <c r="F142" s="7"/>
      <c r="G142" s="7"/>
      <c r="H142" s="7"/>
      <c r="O142" s="6"/>
      <c r="R142" s="7"/>
      <c r="S142" s="6"/>
      <c r="T142" s="6"/>
      <c r="U142" s="7"/>
      <c r="V142" s="7"/>
    </row>
    <row r="143" spans="3:22" x14ac:dyDescent="0.2">
      <c r="C143" s="6"/>
      <c r="D143" s="6"/>
      <c r="E143" s="7"/>
      <c r="F143" s="7"/>
      <c r="G143" s="7"/>
      <c r="H143" s="7"/>
      <c r="O143" s="6"/>
      <c r="R143" s="7"/>
      <c r="S143" s="6"/>
      <c r="T143" s="6"/>
      <c r="U143" s="7"/>
      <c r="V143" s="7"/>
    </row>
    <row r="144" spans="3:22" x14ac:dyDescent="0.2">
      <c r="C144" s="6"/>
      <c r="D144" s="6"/>
      <c r="E144" s="7"/>
      <c r="F144" s="7"/>
      <c r="G144" s="7"/>
      <c r="H144" s="7"/>
      <c r="O144" s="6"/>
      <c r="R144" s="7"/>
      <c r="S144" s="6"/>
      <c r="T144" s="6"/>
      <c r="U144" s="7"/>
      <c r="V144" s="7"/>
    </row>
    <row r="145" spans="3:22" x14ac:dyDescent="0.2">
      <c r="C145" s="6"/>
      <c r="D145" s="6"/>
      <c r="E145" s="7"/>
      <c r="F145" s="7"/>
      <c r="G145" s="7"/>
      <c r="H145" s="7"/>
      <c r="O145" s="6"/>
      <c r="R145" s="7"/>
      <c r="S145" s="6"/>
      <c r="T145" s="6"/>
      <c r="U145" s="7"/>
      <c r="V145" s="7"/>
    </row>
    <row r="146" spans="3:22" x14ac:dyDescent="0.2">
      <c r="C146" s="6"/>
      <c r="D146" s="6"/>
      <c r="E146" s="7"/>
      <c r="F146" s="7"/>
      <c r="G146" s="7"/>
      <c r="H146" s="7"/>
      <c r="O146" s="6"/>
      <c r="R146" s="7"/>
      <c r="S146" s="6"/>
      <c r="T146" s="6"/>
      <c r="U146" s="7"/>
      <c r="V146" s="7"/>
    </row>
    <row r="147" spans="3:22" x14ac:dyDescent="0.2">
      <c r="C147" s="6"/>
      <c r="D147" s="6"/>
      <c r="E147" s="7"/>
      <c r="F147" s="7"/>
      <c r="G147" s="7"/>
      <c r="H147" s="7"/>
      <c r="O147" s="6"/>
      <c r="R147" s="7"/>
      <c r="S147" s="6"/>
      <c r="T147" s="6"/>
      <c r="U147" s="7"/>
      <c r="V147" s="7"/>
    </row>
    <row r="148" spans="3:22" x14ac:dyDescent="0.2">
      <c r="C148" s="6"/>
      <c r="D148" s="6"/>
      <c r="E148" s="7"/>
      <c r="F148" s="7"/>
      <c r="G148" s="7"/>
      <c r="H148" s="7"/>
      <c r="O148" s="6"/>
      <c r="R148" s="7"/>
      <c r="S148" s="6"/>
      <c r="T148" s="6"/>
      <c r="U148" s="7"/>
      <c r="V148" s="7"/>
    </row>
    <row r="149" spans="3:22" x14ac:dyDescent="0.2">
      <c r="C149" s="6"/>
      <c r="D149" s="6"/>
      <c r="E149" s="7"/>
      <c r="F149" s="7"/>
      <c r="G149" s="7"/>
      <c r="H149" s="7"/>
      <c r="O149" s="6"/>
      <c r="R149" s="7"/>
      <c r="S149" s="6"/>
      <c r="T149" s="6"/>
      <c r="U149" s="7"/>
      <c r="V149" s="7"/>
    </row>
    <row r="150" spans="3:22" x14ac:dyDescent="0.2">
      <c r="C150" s="6"/>
      <c r="D150" s="6"/>
      <c r="E150" s="7"/>
      <c r="F150" s="7"/>
      <c r="G150" s="7"/>
      <c r="H150" s="7"/>
      <c r="O150" s="6"/>
      <c r="R150" s="7"/>
      <c r="S150" s="6"/>
      <c r="T150" s="6"/>
      <c r="U150" s="7"/>
      <c r="V150" s="7"/>
    </row>
    <row r="151" spans="3:22" x14ac:dyDescent="0.2">
      <c r="C151" s="6"/>
      <c r="D151" s="6"/>
      <c r="E151" s="7"/>
      <c r="F151" s="7"/>
      <c r="G151" s="7"/>
      <c r="H151" s="7"/>
      <c r="O151" s="6"/>
      <c r="R151" s="7"/>
      <c r="S151" s="6"/>
      <c r="T151" s="6"/>
      <c r="U151" s="7"/>
      <c r="V151" s="7"/>
    </row>
    <row r="152" spans="3:22" x14ac:dyDescent="0.2">
      <c r="C152" s="6"/>
      <c r="D152" s="6"/>
      <c r="E152" s="7"/>
      <c r="F152" s="7"/>
      <c r="G152" s="7"/>
      <c r="H152" s="7"/>
      <c r="O152" s="6"/>
      <c r="R152" s="7"/>
      <c r="S152" s="6"/>
      <c r="T152" s="6"/>
      <c r="U152" s="7"/>
      <c r="V152" s="7"/>
    </row>
    <row r="153" spans="3:22" x14ac:dyDescent="0.2">
      <c r="C153" s="6"/>
      <c r="D153" s="6"/>
      <c r="E153" s="7"/>
      <c r="F153" s="7"/>
      <c r="G153" s="7"/>
      <c r="H153" s="7"/>
      <c r="O153" s="6"/>
      <c r="R153" s="7"/>
      <c r="S153" s="6"/>
      <c r="T153" s="6"/>
      <c r="U153" s="7"/>
      <c r="V153" s="7"/>
    </row>
    <row r="154" spans="3:22" x14ac:dyDescent="0.2">
      <c r="C154" s="6"/>
      <c r="D154" s="6"/>
      <c r="E154" s="7"/>
      <c r="F154" s="7"/>
      <c r="G154" s="7"/>
      <c r="H154" s="7"/>
      <c r="O154" s="6"/>
      <c r="R154" s="7"/>
      <c r="S154" s="6"/>
      <c r="T154" s="6"/>
      <c r="U154" s="7"/>
      <c r="V154" s="7"/>
    </row>
    <row r="155" spans="3:22" x14ac:dyDescent="0.2">
      <c r="C155" s="6"/>
      <c r="D155" s="6"/>
      <c r="E155" s="7"/>
      <c r="F155" s="7"/>
      <c r="G155" s="7"/>
      <c r="H155" s="7"/>
      <c r="O155" s="6"/>
      <c r="R155" s="7"/>
      <c r="S155" s="6"/>
      <c r="T155" s="6"/>
      <c r="U155" s="7"/>
      <c r="V155" s="7"/>
    </row>
    <row r="156" spans="3:22" x14ac:dyDescent="0.2">
      <c r="C156" s="6"/>
      <c r="D156" s="6"/>
      <c r="E156" s="7"/>
      <c r="F156" s="7"/>
      <c r="G156" s="7"/>
      <c r="H156" s="7"/>
      <c r="O156" s="6"/>
      <c r="R156" s="7"/>
      <c r="S156" s="6"/>
      <c r="T156" s="6"/>
      <c r="U156" s="7"/>
      <c r="V156" s="7"/>
    </row>
    <row r="157" spans="3:22" x14ac:dyDescent="0.2">
      <c r="C157" s="6"/>
      <c r="D157" s="6"/>
      <c r="E157" s="7"/>
      <c r="F157" s="7"/>
      <c r="G157" s="7"/>
      <c r="H157" s="7"/>
      <c r="O157" s="6"/>
      <c r="R157" s="7"/>
      <c r="S157" s="6"/>
      <c r="T157" s="6"/>
      <c r="U157" s="7"/>
      <c r="V157" s="7"/>
    </row>
    <row r="158" spans="3:22" x14ac:dyDescent="0.2">
      <c r="C158" s="6"/>
      <c r="D158" s="6"/>
      <c r="E158" s="7"/>
      <c r="F158" s="7"/>
      <c r="G158" s="7"/>
      <c r="H158" s="7"/>
      <c r="O158" s="6"/>
      <c r="R158" s="7"/>
      <c r="S158" s="6"/>
      <c r="T158" s="6"/>
      <c r="U158" s="7"/>
      <c r="V158" s="7"/>
    </row>
    <row r="159" spans="3:22" x14ac:dyDescent="0.2">
      <c r="C159" s="6"/>
      <c r="D159" s="6"/>
      <c r="E159" s="7"/>
      <c r="F159" s="7"/>
      <c r="G159" s="7"/>
      <c r="H159" s="7"/>
      <c r="O159" s="6"/>
      <c r="R159" s="7"/>
      <c r="S159" s="6"/>
      <c r="T159" s="6"/>
      <c r="U159" s="7"/>
      <c r="V159" s="7"/>
    </row>
    <row r="160" spans="3:22" x14ac:dyDescent="0.2">
      <c r="C160" s="6"/>
      <c r="D160" s="6"/>
      <c r="E160" s="7"/>
      <c r="F160" s="7"/>
      <c r="G160" s="7"/>
      <c r="H160" s="7"/>
      <c r="O160" s="6"/>
      <c r="R160" s="7"/>
      <c r="S160" s="6"/>
      <c r="T160" s="6"/>
      <c r="U160" s="7"/>
      <c r="V160" s="7"/>
    </row>
    <row r="161" spans="3:22" x14ac:dyDescent="0.2">
      <c r="C161" s="6"/>
      <c r="D161" s="6"/>
      <c r="E161" s="7"/>
      <c r="F161" s="7"/>
      <c r="G161" s="7"/>
      <c r="H161" s="7"/>
      <c r="O161" s="6"/>
      <c r="R161" s="7"/>
      <c r="S161" s="6"/>
      <c r="T161" s="6"/>
      <c r="U161" s="7"/>
      <c r="V161" s="7"/>
    </row>
    <row r="162" spans="3:22" x14ac:dyDescent="0.2">
      <c r="C162" s="6"/>
      <c r="D162" s="6"/>
      <c r="E162" s="7"/>
      <c r="F162" s="7"/>
      <c r="G162" s="7"/>
      <c r="H162" s="7"/>
      <c r="O162" s="6"/>
      <c r="R162" s="7"/>
      <c r="S162" s="6"/>
      <c r="T162" s="6"/>
      <c r="U162" s="7"/>
      <c r="V162" s="7"/>
    </row>
    <row r="163" spans="3:22" x14ac:dyDescent="0.2">
      <c r="C163" s="6"/>
      <c r="D163" s="6"/>
      <c r="E163" s="7"/>
      <c r="F163" s="7"/>
      <c r="G163" s="7"/>
      <c r="H163" s="7"/>
      <c r="O163" s="6"/>
      <c r="R163" s="7"/>
      <c r="S163" s="6"/>
      <c r="T163" s="6"/>
      <c r="U163" s="7"/>
      <c r="V163" s="7"/>
    </row>
    <row r="164" spans="3:22" x14ac:dyDescent="0.2">
      <c r="C164" s="6"/>
      <c r="D164" s="6"/>
      <c r="E164" s="7"/>
      <c r="F164" s="7"/>
      <c r="G164" s="7"/>
      <c r="H164" s="7"/>
      <c r="O164" s="6"/>
      <c r="R164" s="7"/>
      <c r="S164" s="6"/>
      <c r="T164" s="6"/>
      <c r="U164" s="7"/>
      <c r="V164" s="7"/>
    </row>
    <row r="165" spans="3:22" x14ac:dyDescent="0.2">
      <c r="C165" s="6"/>
      <c r="D165" s="6"/>
      <c r="E165" s="7"/>
      <c r="F165" s="7"/>
      <c r="G165" s="7"/>
      <c r="H165" s="7"/>
      <c r="O165" s="6"/>
      <c r="R165" s="7"/>
      <c r="S165" s="6"/>
      <c r="T165" s="6"/>
      <c r="U165" s="7"/>
      <c r="V165" s="7"/>
    </row>
    <row r="166" spans="3:22" x14ac:dyDescent="0.2">
      <c r="C166" s="6"/>
      <c r="D166" s="6"/>
      <c r="E166" s="7"/>
      <c r="F166" s="7"/>
      <c r="G166" s="7"/>
      <c r="H166" s="7"/>
      <c r="O166" s="6"/>
      <c r="R166" s="7"/>
      <c r="S166" s="6"/>
      <c r="T166" s="6"/>
      <c r="U166" s="7"/>
      <c r="V166" s="7"/>
    </row>
    <row r="167" spans="3:22" x14ac:dyDescent="0.2">
      <c r="C167" s="6"/>
      <c r="D167" s="6"/>
      <c r="E167" s="7"/>
      <c r="F167" s="7"/>
      <c r="G167" s="7"/>
      <c r="H167" s="7"/>
      <c r="O167" s="6"/>
      <c r="R167" s="7"/>
      <c r="S167" s="6"/>
      <c r="T167" s="6"/>
      <c r="U167" s="7"/>
      <c r="V167" s="7"/>
    </row>
    <row r="168" spans="3:22" x14ac:dyDescent="0.2">
      <c r="C168" s="6"/>
      <c r="D168" s="6"/>
      <c r="E168" s="7"/>
      <c r="F168" s="7"/>
      <c r="G168" s="7"/>
      <c r="H168" s="7"/>
      <c r="O168" s="6"/>
      <c r="R168" s="7"/>
      <c r="S168" s="6"/>
      <c r="T168" s="6"/>
      <c r="U168" s="7"/>
      <c r="V168" s="7"/>
    </row>
    <row r="169" spans="3:22" x14ac:dyDescent="0.2">
      <c r="C169" s="6"/>
      <c r="D169" s="6"/>
      <c r="E169" s="7"/>
      <c r="F169" s="7"/>
      <c r="G169" s="7"/>
      <c r="H169" s="7"/>
      <c r="O169" s="6"/>
      <c r="R169" s="7"/>
      <c r="S169" s="6"/>
      <c r="T169" s="6"/>
      <c r="U169" s="7"/>
      <c r="V169" s="7"/>
    </row>
    <row r="170" spans="3:22" x14ac:dyDescent="0.2">
      <c r="C170" s="6"/>
      <c r="D170" s="6"/>
      <c r="E170" s="7"/>
      <c r="F170" s="7"/>
      <c r="G170" s="7"/>
      <c r="H170" s="7"/>
      <c r="O170" s="6"/>
      <c r="R170" s="7"/>
      <c r="S170" s="6"/>
      <c r="T170" s="6"/>
      <c r="U170" s="7"/>
      <c r="V170" s="7"/>
    </row>
    <row r="171" spans="3:22" x14ac:dyDescent="0.2">
      <c r="C171" s="6"/>
      <c r="D171" s="6"/>
      <c r="E171" s="7"/>
      <c r="F171" s="7"/>
      <c r="G171" s="7"/>
      <c r="H171" s="7"/>
      <c r="O171" s="6"/>
      <c r="R171" s="7"/>
      <c r="S171" s="6"/>
      <c r="T171" s="6"/>
      <c r="U171" s="7"/>
      <c r="V171" s="7"/>
    </row>
    <row r="172" spans="3:22" x14ac:dyDescent="0.2">
      <c r="C172" s="6"/>
      <c r="D172" s="6"/>
      <c r="E172" s="7"/>
      <c r="F172" s="7"/>
      <c r="G172" s="7"/>
      <c r="H172" s="7"/>
      <c r="O172" s="6"/>
      <c r="R172" s="7"/>
      <c r="S172" s="6"/>
      <c r="T172" s="6"/>
      <c r="U172" s="7"/>
      <c r="V172" s="7"/>
    </row>
    <row r="173" spans="3:22" x14ac:dyDescent="0.2">
      <c r="C173" s="6"/>
      <c r="D173" s="6"/>
      <c r="E173" s="7"/>
      <c r="F173" s="7"/>
      <c r="G173" s="7"/>
      <c r="H173" s="7"/>
      <c r="O173" s="6"/>
      <c r="R173" s="7"/>
      <c r="S173" s="6"/>
      <c r="T173" s="6"/>
      <c r="U173" s="7"/>
      <c r="V173" s="7"/>
    </row>
    <row r="174" spans="3:22" x14ac:dyDescent="0.2">
      <c r="C174" s="6"/>
      <c r="D174" s="6"/>
      <c r="E174" s="7"/>
      <c r="F174" s="7"/>
      <c r="G174" s="7"/>
      <c r="H174" s="7"/>
      <c r="O174" s="6"/>
      <c r="R174" s="7"/>
      <c r="S174" s="6"/>
      <c r="T174" s="6"/>
      <c r="U174" s="7"/>
      <c r="V174" s="7"/>
    </row>
    <row r="175" spans="3:22" x14ac:dyDescent="0.2">
      <c r="C175" s="6"/>
      <c r="D175" s="6"/>
      <c r="E175" s="7"/>
      <c r="F175" s="7"/>
      <c r="G175" s="7"/>
      <c r="H175" s="7"/>
      <c r="O175" s="6"/>
      <c r="R175" s="7"/>
      <c r="S175" s="6"/>
      <c r="T175" s="6"/>
      <c r="U175" s="7"/>
      <c r="V175" s="7"/>
    </row>
    <row r="176" spans="3:22" x14ac:dyDescent="0.2">
      <c r="C176" s="6"/>
      <c r="D176" s="6"/>
      <c r="E176" s="7"/>
      <c r="F176" s="7"/>
      <c r="G176" s="7"/>
      <c r="H176" s="7"/>
      <c r="O176" s="6"/>
      <c r="R176" s="7"/>
      <c r="S176" s="6"/>
      <c r="T176" s="6"/>
      <c r="U176" s="7"/>
      <c r="V176" s="7"/>
    </row>
    <row r="177" spans="3:22" x14ac:dyDescent="0.2">
      <c r="C177" s="6"/>
      <c r="D177" s="6"/>
      <c r="E177" s="7"/>
      <c r="F177" s="7"/>
      <c r="G177" s="7"/>
      <c r="H177" s="7"/>
      <c r="O177" s="6"/>
      <c r="R177" s="7"/>
      <c r="S177" s="6"/>
      <c r="T177" s="6"/>
      <c r="U177" s="7"/>
      <c r="V177" s="7"/>
    </row>
    <row r="178" spans="3:22" x14ac:dyDescent="0.2">
      <c r="C178" s="6"/>
      <c r="D178" s="6"/>
      <c r="E178" s="7"/>
      <c r="F178" s="7"/>
      <c r="G178" s="7"/>
      <c r="H178" s="7"/>
      <c r="O178" s="6"/>
      <c r="R178" s="7"/>
      <c r="S178" s="6"/>
      <c r="T178" s="6"/>
      <c r="U178" s="7"/>
      <c r="V178" s="7"/>
    </row>
    <row r="179" spans="3:22" x14ac:dyDescent="0.2">
      <c r="C179" s="6"/>
      <c r="D179" s="6"/>
      <c r="E179" s="7"/>
      <c r="F179" s="7"/>
      <c r="G179" s="7"/>
      <c r="H179" s="7"/>
      <c r="O179" s="6"/>
      <c r="R179" s="7"/>
      <c r="S179" s="6"/>
      <c r="T179" s="6"/>
      <c r="U179" s="7"/>
      <c r="V179" s="7"/>
    </row>
    <row r="180" spans="3:22" x14ac:dyDescent="0.2">
      <c r="C180" s="6"/>
      <c r="D180" s="6"/>
      <c r="E180" s="7"/>
      <c r="F180" s="7"/>
      <c r="G180" s="7"/>
      <c r="H180" s="7"/>
      <c r="O180" s="6"/>
      <c r="R180" s="7"/>
      <c r="S180" s="6"/>
      <c r="T180" s="6"/>
      <c r="U180" s="7"/>
      <c r="V180" s="7"/>
    </row>
    <row r="181" spans="3:22" x14ac:dyDescent="0.2">
      <c r="C181" s="6"/>
      <c r="D181" s="6"/>
      <c r="E181" s="7"/>
      <c r="F181" s="7"/>
      <c r="G181" s="7"/>
      <c r="H181" s="7"/>
      <c r="O181" s="6"/>
      <c r="R181" s="7"/>
      <c r="S181" s="6"/>
      <c r="T181" s="6"/>
      <c r="U181" s="7"/>
      <c r="V181" s="7"/>
    </row>
    <row r="182" spans="3:22" x14ac:dyDescent="0.2">
      <c r="C182" s="6"/>
      <c r="D182" s="6"/>
      <c r="E182" s="7"/>
      <c r="F182" s="7"/>
      <c r="G182" s="7"/>
      <c r="H182" s="7"/>
      <c r="O182" s="6"/>
      <c r="R182" s="7"/>
      <c r="S182" s="6"/>
      <c r="T182" s="6"/>
      <c r="U182" s="7"/>
      <c r="V182" s="7"/>
    </row>
    <row r="183" spans="3:22" x14ac:dyDescent="0.2">
      <c r="C183" s="6"/>
      <c r="D183" s="6"/>
      <c r="E183" s="7"/>
      <c r="F183" s="7"/>
      <c r="G183" s="7"/>
      <c r="H183" s="7"/>
      <c r="O183" s="6"/>
      <c r="R183" s="7"/>
      <c r="S183" s="6"/>
      <c r="T183" s="6"/>
      <c r="U183" s="7"/>
      <c r="V183" s="7"/>
    </row>
    <row r="184" spans="3:22" x14ac:dyDescent="0.2">
      <c r="C184" s="6"/>
      <c r="D184" s="6"/>
      <c r="E184" s="7"/>
      <c r="F184" s="7"/>
      <c r="G184" s="7"/>
      <c r="H184" s="7"/>
      <c r="O184" s="6"/>
      <c r="R184" s="7"/>
      <c r="S184" s="6"/>
      <c r="T184" s="6"/>
      <c r="U184" s="7"/>
      <c r="V184" s="7"/>
    </row>
    <row r="185" spans="3:22" x14ac:dyDescent="0.2">
      <c r="C185" s="6"/>
      <c r="D185" s="6"/>
      <c r="E185" s="7"/>
      <c r="F185" s="7"/>
      <c r="G185" s="7"/>
      <c r="H185" s="7"/>
      <c r="O185" s="6"/>
      <c r="R185" s="7"/>
      <c r="S185" s="6"/>
      <c r="T185" s="6"/>
      <c r="U185" s="7"/>
      <c r="V185" s="7"/>
    </row>
    <row r="186" spans="3:22" x14ac:dyDescent="0.2">
      <c r="C186" s="6"/>
      <c r="D186" s="6"/>
      <c r="E186" s="7"/>
      <c r="F186" s="7"/>
      <c r="G186" s="7"/>
      <c r="H186" s="7"/>
      <c r="O186" s="6"/>
      <c r="R186" s="7"/>
      <c r="S186" s="6"/>
      <c r="T186" s="6"/>
      <c r="U186" s="7"/>
      <c r="V186" s="7"/>
    </row>
    <row r="187" spans="3:22" x14ac:dyDescent="0.2">
      <c r="C187" s="6"/>
      <c r="D187" s="6"/>
      <c r="E187" s="7"/>
      <c r="F187" s="7"/>
      <c r="G187" s="7"/>
      <c r="H187" s="7"/>
      <c r="O187" s="6"/>
      <c r="R187" s="7"/>
      <c r="S187" s="6"/>
      <c r="T187" s="6"/>
      <c r="U187" s="7"/>
      <c r="V187" s="7"/>
    </row>
    <row r="188" spans="3:22" x14ac:dyDescent="0.2">
      <c r="C188" s="6"/>
      <c r="D188" s="6"/>
      <c r="E188" s="7"/>
      <c r="F188" s="7"/>
      <c r="G188" s="7"/>
      <c r="H188" s="7"/>
      <c r="O188" s="6"/>
      <c r="R188" s="7"/>
      <c r="S188" s="6"/>
      <c r="T188" s="6"/>
      <c r="U188" s="7"/>
      <c r="V188" s="7"/>
    </row>
    <row r="189" spans="3:22" x14ac:dyDescent="0.2">
      <c r="C189" s="6"/>
      <c r="D189" s="6"/>
      <c r="E189" s="7"/>
      <c r="F189" s="7"/>
      <c r="G189" s="7"/>
      <c r="H189" s="7"/>
      <c r="O189" s="6"/>
      <c r="R189" s="7"/>
      <c r="S189" s="6"/>
      <c r="T189" s="6"/>
      <c r="U189" s="7"/>
      <c r="V189" s="7"/>
    </row>
    <row r="190" spans="3:22" x14ac:dyDescent="0.2">
      <c r="C190" s="6"/>
      <c r="D190" s="6"/>
      <c r="E190" s="7"/>
      <c r="F190" s="7"/>
      <c r="G190" s="7"/>
      <c r="H190" s="7"/>
      <c r="O190" s="6"/>
      <c r="R190" s="7"/>
      <c r="S190" s="6"/>
      <c r="T190" s="6"/>
      <c r="U190" s="7"/>
      <c r="V190" s="7"/>
    </row>
    <row r="191" spans="3:22" x14ac:dyDescent="0.2">
      <c r="C191" s="6"/>
      <c r="D191" s="6"/>
      <c r="E191" s="7"/>
      <c r="F191" s="7"/>
      <c r="G191" s="7"/>
      <c r="H191" s="7"/>
      <c r="O191" s="6"/>
      <c r="R191" s="7"/>
      <c r="S191" s="6"/>
      <c r="T191" s="6"/>
      <c r="U191" s="7"/>
      <c r="V191" s="7"/>
    </row>
    <row r="192" spans="3:22" x14ac:dyDescent="0.2">
      <c r="C192" s="6"/>
      <c r="D192" s="6"/>
      <c r="E192" s="7"/>
      <c r="F192" s="7"/>
      <c r="G192" s="7"/>
      <c r="H192" s="7"/>
      <c r="O192" s="6"/>
      <c r="R192" s="7"/>
      <c r="S192" s="6"/>
      <c r="T192" s="6"/>
      <c r="U192" s="7"/>
      <c r="V192" s="7"/>
    </row>
    <row r="193" spans="3:22" x14ac:dyDescent="0.2">
      <c r="C193" s="6"/>
      <c r="D193" s="6"/>
      <c r="E193" s="7"/>
      <c r="F193" s="7"/>
      <c r="G193" s="7"/>
      <c r="H193" s="7"/>
      <c r="O193" s="6"/>
      <c r="R193" s="7"/>
      <c r="S193" s="6"/>
      <c r="T193" s="6"/>
      <c r="U193" s="7"/>
      <c r="V193" s="7"/>
    </row>
    <row r="194" spans="3:22" x14ac:dyDescent="0.2">
      <c r="C194" s="6"/>
      <c r="D194" s="6"/>
      <c r="E194" s="7"/>
      <c r="F194" s="7"/>
      <c r="G194" s="7"/>
      <c r="H194" s="7"/>
      <c r="O194" s="6"/>
      <c r="R194" s="7"/>
      <c r="S194" s="6"/>
      <c r="T194" s="6"/>
      <c r="U194" s="7"/>
      <c r="V194" s="7"/>
    </row>
    <row r="195" spans="3:22" x14ac:dyDescent="0.2">
      <c r="C195" s="6"/>
      <c r="D195" s="6"/>
      <c r="E195" s="7"/>
      <c r="F195" s="7"/>
      <c r="G195" s="7"/>
      <c r="H195" s="7"/>
      <c r="O195" s="6"/>
      <c r="R195" s="7"/>
      <c r="S195" s="6"/>
      <c r="T195" s="6"/>
      <c r="U195" s="7"/>
      <c r="V195" s="7"/>
    </row>
    <row r="196" spans="3:22" x14ac:dyDescent="0.2">
      <c r="C196" s="6"/>
      <c r="D196" s="6"/>
      <c r="E196" s="7"/>
      <c r="F196" s="7"/>
      <c r="G196" s="7"/>
      <c r="H196" s="7"/>
      <c r="O196" s="6"/>
      <c r="R196" s="7"/>
      <c r="S196" s="6"/>
      <c r="T196" s="6"/>
      <c r="U196" s="7"/>
      <c r="V196" s="7"/>
    </row>
    <row r="197" spans="3:22" x14ac:dyDescent="0.2">
      <c r="C197" s="6"/>
      <c r="D197" s="6"/>
      <c r="E197" s="7"/>
      <c r="F197" s="7"/>
      <c r="G197" s="7"/>
      <c r="H197" s="7"/>
      <c r="O197" s="6"/>
      <c r="R197" s="7"/>
      <c r="S197" s="6"/>
      <c r="T197" s="6"/>
      <c r="U197" s="7"/>
      <c r="V197" s="7"/>
    </row>
    <row r="198" spans="3:22" x14ac:dyDescent="0.2">
      <c r="C198" s="6"/>
      <c r="D198" s="6"/>
      <c r="E198" s="7"/>
      <c r="F198" s="7"/>
      <c r="G198" s="7"/>
      <c r="H198" s="7"/>
      <c r="O198" s="6"/>
      <c r="R198" s="7"/>
      <c r="S198" s="6"/>
      <c r="T198" s="6"/>
      <c r="U198" s="7"/>
      <c r="V198" s="7"/>
    </row>
    <row r="199" spans="3:22" x14ac:dyDescent="0.2">
      <c r="C199" s="6"/>
      <c r="D199" s="6"/>
      <c r="E199" s="7"/>
      <c r="F199" s="7"/>
      <c r="G199" s="7"/>
      <c r="H199" s="7"/>
      <c r="O199" s="6"/>
      <c r="R199" s="7"/>
      <c r="S199" s="6"/>
      <c r="T199" s="6"/>
      <c r="U199" s="7"/>
      <c r="V199" s="7"/>
    </row>
    <row r="200" spans="3:22" x14ac:dyDescent="0.2">
      <c r="C200" s="6"/>
      <c r="D200" s="6"/>
      <c r="E200" s="7"/>
      <c r="F200" s="7"/>
      <c r="G200" s="7"/>
      <c r="H200" s="7"/>
      <c r="O200" s="6"/>
      <c r="R200" s="7"/>
      <c r="S200" s="6"/>
      <c r="T200" s="6"/>
      <c r="U200" s="7"/>
      <c r="V200" s="7"/>
    </row>
    <row r="201" spans="3:22" x14ac:dyDescent="0.2">
      <c r="C201" s="6"/>
      <c r="D201" s="6"/>
      <c r="E201" s="7"/>
      <c r="F201" s="7"/>
      <c r="G201" s="7"/>
      <c r="H201" s="7"/>
      <c r="O201" s="6"/>
      <c r="R201" s="7"/>
      <c r="S201" s="6"/>
      <c r="T201" s="6"/>
      <c r="U201" s="7"/>
      <c r="V201" s="7"/>
    </row>
    <row r="202" spans="3:22" x14ac:dyDescent="0.2">
      <c r="C202" s="6"/>
      <c r="D202" s="6"/>
      <c r="E202" s="7"/>
      <c r="F202" s="7"/>
      <c r="G202" s="7"/>
      <c r="H202" s="7"/>
      <c r="O202" s="6"/>
      <c r="R202" s="7"/>
      <c r="S202" s="6"/>
      <c r="T202" s="6"/>
      <c r="U202" s="7"/>
      <c r="V202" s="7"/>
    </row>
    <row r="203" spans="3:22" x14ac:dyDescent="0.2">
      <c r="C203" s="6"/>
      <c r="D203" s="6"/>
      <c r="E203" s="7"/>
      <c r="F203" s="7"/>
      <c r="G203" s="7"/>
      <c r="H203" s="7"/>
      <c r="O203" s="6"/>
      <c r="R203" s="7"/>
      <c r="S203" s="6"/>
      <c r="T203" s="6"/>
      <c r="U203" s="7"/>
      <c r="V203" s="7"/>
    </row>
    <row r="204" spans="3:22" x14ac:dyDescent="0.2">
      <c r="C204" s="6"/>
      <c r="D204" s="6"/>
      <c r="E204" s="7"/>
      <c r="F204" s="7"/>
      <c r="G204" s="7"/>
      <c r="H204" s="7"/>
      <c r="O204" s="6"/>
      <c r="R204" s="7"/>
      <c r="S204" s="6"/>
      <c r="T204" s="6"/>
      <c r="U204" s="7"/>
      <c r="V204" s="7"/>
    </row>
    <row r="205" spans="3:22" x14ac:dyDescent="0.2">
      <c r="C205" s="6"/>
      <c r="D205" s="6"/>
      <c r="E205" s="7"/>
      <c r="F205" s="7"/>
      <c r="G205" s="7"/>
      <c r="H205" s="7"/>
      <c r="O205" s="6"/>
      <c r="R205" s="7"/>
      <c r="S205" s="6"/>
      <c r="T205" s="6"/>
      <c r="U205" s="7"/>
      <c r="V205" s="7"/>
    </row>
    <row r="206" spans="3:22" x14ac:dyDescent="0.2">
      <c r="C206" s="6"/>
      <c r="D206" s="6"/>
      <c r="E206" s="7"/>
      <c r="F206" s="7"/>
      <c r="G206" s="7"/>
      <c r="H206" s="7"/>
      <c r="O206" s="6"/>
      <c r="R206" s="7"/>
      <c r="S206" s="6"/>
      <c r="T206" s="6"/>
      <c r="U206" s="7"/>
      <c r="V206" s="7"/>
    </row>
    <row r="207" spans="3:22" x14ac:dyDescent="0.2">
      <c r="C207" s="6"/>
      <c r="D207" s="6"/>
      <c r="E207" s="7"/>
      <c r="F207" s="7"/>
      <c r="G207" s="7"/>
      <c r="H207" s="7"/>
      <c r="O207" s="6"/>
      <c r="R207" s="7"/>
      <c r="S207" s="6"/>
      <c r="T207" s="6"/>
      <c r="U207" s="7"/>
      <c r="V207" s="7"/>
    </row>
    <row r="208" spans="3:22" x14ac:dyDescent="0.2">
      <c r="C208" s="6"/>
      <c r="D208" s="6"/>
      <c r="E208" s="7"/>
      <c r="F208" s="7"/>
      <c r="G208" s="7"/>
      <c r="H208" s="7"/>
      <c r="O208" s="6"/>
      <c r="R208" s="7"/>
      <c r="S208" s="6"/>
      <c r="T208" s="6"/>
      <c r="U208" s="7"/>
      <c r="V208" s="7"/>
    </row>
    <row r="209" spans="3:22" x14ac:dyDescent="0.2">
      <c r="C209" s="6"/>
      <c r="D209" s="6"/>
      <c r="E209" s="7"/>
      <c r="F209" s="7"/>
      <c r="G209" s="7"/>
      <c r="H209" s="7"/>
      <c r="O209" s="6"/>
      <c r="R209" s="7"/>
      <c r="S209" s="6"/>
      <c r="T209" s="6"/>
      <c r="U209" s="7"/>
      <c r="V209" s="7"/>
    </row>
    <row r="210" spans="3:22" x14ac:dyDescent="0.2">
      <c r="C210" s="6"/>
      <c r="D210" s="6"/>
      <c r="E210" s="7"/>
      <c r="F210" s="7"/>
      <c r="G210" s="7"/>
      <c r="H210" s="7"/>
      <c r="O210" s="6"/>
      <c r="R210" s="7"/>
      <c r="S210" s="6"/>
      <c r="T210" s="6"/>
      <c r="U210" s="7"/>
      <c r="V210" s="7"/>
    </row>
    <row r="211" spans="3:22" x14ac:dyDescent="0.2">
      <c r="C211" s="6"/>
      <c r="D211" s="6"/>
      <c r="E211" s="7"/>
      <c r="F211" s="7"/>
      <c r="G211" s="7"/>
      <c r="H211" s="7"/>
      <c r="O211" s="6"/>
      <c r="R211" s="7"/>
      <c r="S211" s="6"/>
      <c r="T211" s="6"/>
      <c r="U211" s="7"/>
      <c r="V211" s="7"/>
    </row>
    <row r="212" spans="3:22" x14ac:dyDescent="0.2">
      <c r="C212" s="6"/>
      <c r="D212" s="6"/>
      <c r="E212" s="7"/>
      <c r="F212" s="7"/>
      <c r="G212" s="7"/>
      <c r="H212" s="7"/>
      <c r="O212" s="6"/>
      <c r="R212" s="7"/>
      <c r="S212" s="6"/>
      <c r="T212" s="6"/>
      <c r="U212" s="7"/>
      <c r="V212" s="7"/>
    </row>
    <row r="213" spans="3:22" x14ac:dyDescent="0.2">
      <c r="C213" s="6"/>
      <c r="D213" s="6"/>
      <c r="E213" s="7"/>
      <c r="F213" s="7"/>
      <c r="G213" s="7"/>
      <c r="H213" s="7"/>
      <c r="O213" s="6"/>
      <c r="R213" s="7"/>
      <c r="S213" s="6"/>
      <c r="T213" s="6"/>
      <c r="U213" s="7"/>
      <c r="V213" s="7"/>
    </row>
    <row r="214" spans="3:22" x14ac:dyDescent="0.2">
      <c r="C214" s="6"/>
      <c r="D214" s="6"/>
      <c r="E214" s="7"/>
      <c r="F214" s="7"/>
      <c r="G214" s="7"/>
      <c r="H214" s="7"/>
      <c r="O214" s="6"/>
      <c r="R214" s="7"/>
      <c r="S214" s="6"/>
      <c r="T214" s="6"/>
      <c r="U214" s="7"/>
      <c r="V214" s="7"/>
    </row>
    <row r="215" spans="3:22" x14ac:dyDescent="0.2">
      <c r="C215" s="6"/>
      <c r="D215" s="6"/>
      <c r="E215" s="7"/>
      <c r="F215" s="7"/>
      <c r="G215" s="7"/>
      <c r="H215" s="7"/>
      <c r="O215" s="6"/>
      <c r="R215" s="7"/>
      <c r="S215" s="6"/>
      <c r="T215" s="6"/>
      <c r="U215" s="7"/>
      <c r="V215" s="7"/>
    </row>
    <row r="216" spans="3:22" x14ac:dyDescent="0.2">
      <c r="C216" s="6"/>
      <c r="D216" s="6"/>
      <c r="E216" s="7"/>
      <c r="F216" s="7"/>
      <c r="G216" s="7"/>
      <c r="H216" s="7"/>
      <c r="O216" s="6"/>
      <c r="R216" s="7"/>
      <c r="S216" s="6"/>
      <c r="T216" s="6"/>
      <c r="U216" s="7"/>
      <c r="V216" s="7"/>
    </row>
    <row r="217" spans="3:22" x14ac:dyDescent="0.2">
      <c r="C217" s="6"/>
      <c r="D217" s="6"/>
      <c r="E217" s="7"/>
      <c r="F217" s="7"/>
      <c r="G217" s="7"/>
      <c r="H217" s="7"/>
      <c r="O217" s="6"/>
      <c r="R217" s="7"/>
      <c r="S217" s="6"/>
      <c r="T217" s="6"/>
      <c r="U217" s="7"/>
      <c r="V217" s="7"/>
    </row>
    <row r="218" spans="3:22" x14ac:dyDescent="0.2">
      <c r="C218" s="6"/>
      <c r="D218" s="6"/>
      <c r="E218" s="7"/>
      <c r="F218" s="7"/>
      <c r="G218" s="7"/>
      <c r="H218" s="7"/>
      <c r="O218" s="6"/>
      <c r="R218" s="7"/>
      <c r="S218" s="6"/>
      <c r="T218" s="6"/>
      <c r="U218" s="7"/>
      <c r="V218" s="7"/>
    </row>
    <row r="219" spans="3:22" x14ac:dyDescent="0.2">
      <c r="C219" s="6"/>
      <c r="D219" s="6"/>
      <c r="E219" s="7"/>
      <c r="F219" s="7"/>
      <c r="G219" s="7"/>
      <c r="H219" s="7"/>
      <c r="O219" s="6"/>
      <c r="R219" s="7"/>
      <c r="S219" s="6"/>
      <c r="T219" s="6"/>
      <c r="U219" s="7"/>
      <c r="V219" s="7"/>
    </row>
    <row r="220" spans="3:22" x14ac:dyDescent="0.2">
      <c r="C220" s="6"/>
      <c r="D220" s="6"/>
      <c r="E220" s="7"/>
      <c r="F220" s="7"/>
      <c r="G220" s="7"/>
      <c r="H220" s="7"/>
      <c r="O220" s="6"/>
      <c r="R220" s="7"/>
      <c r="S220" s="6"/>
      <c r="T220" s="6"/>
      <c r="U220" s="7"/>
      <c r="V220" s="7"/>
    </row>
    <row r="221" spans="3:22" x14ac:dyDescent="0.2">
      <c r="C221" s="6"/>
      <c r="D221" s="6"/>
      <c r="E221" s="7"/>
      <c r="F221" s="7"/>
      <c r="G221" s="7"/>
      <c r="H221" s="7"/>
      <c r="O221" s="6"/>
      <c r="R221" s="7"/>
      <c r="S221" s="6"/>
      <c r="T221" s="6"/>
      <c r="U221" s="7"/>
      <c r="V221" s="7"/>
    </row>
    <row r="222" spans="3:22" x14ac:dyDescent="0.2">
      <c r="C222" s="6"/>
      <c r="D222" s="6"/>
      <c r="E222" s="7"/>
      <c r="F222" s="7"/>
      <c r="G222" s="7"/>
      <c r="H222" s="7"/>
      <c r="O222" s="6"/>
      <c r="R222" s="7"/>
      <c r="S222" s="6"/>
      <c r="T222" s="6"/>
      <c r="U222" s="7"/>
      <c r="V222" s="7"/>
    </row>
    <row r="223" spans="3:22" x14ac:dyDescent="0.2">
      <c r="C223" s="6"/>
      <c r="D223" s="6"/>
      <c r="E223" s="7"/>
      <c r="F223" s="7"/>
      <c r="G223" s="7"/>
      <c r="H223" s="7"/>
      <c r="O223" s="6"/>
      <c r="R223" s="7"/>
      <c r="S223" s="6"/>
      <c r="T223" s="6"/>
      <c r="U223" s="7"/>
      <c r="V223" s="7"/>
    </row>
    <row r="224" spans="3:22" x14ac:dyDescent="0.2">
      <c r="C224" s="6"/>
      <c r="D224" s="6"/>
      <c r="E224" s="7"/>
      <c r="F224" s="7"/>
      <c r="G224" s="7"/>
      <c r="H224" s="7"/>
      <c r="O224" s="6"/>
      <c r="R224" s="7"/>
      <c r="S224" s="6"/>
      <c r="T224" s="6"/>
      <c r="U224" s="7"/>
      <c r="V224" s="7"/>
    </row>
    <row r="225" spans="3:22" x14ac:dyDescent="0.2">
      <c r="C225" s="6"/>
      <c r="D225" s="6"/>
      <c r="E225" s="7"/>
      <c r="F225" s="7"/>
      <c r="G225" s="7"/>
      <c r="H225" s="7"/>
      <c r="O225" s="6"/>
      <c r="R225" s="7"/>
      <c r="S225" s="6"/>
      <c r="T225" s="6"/>
      <c r="U225" s="7"/>
      <c r="V225" s="7"/>
    </row>
    <row r="226" spans="3:22" x14ac:dyDescent="0.2">
      <c r="C226" s="6"/>
      <c r="D226" s="6"/>
      <c r="E226" s="7"/>
      <c r="F226" s="7"/>
      <c r="G226" s="7"/>
      <c r="H226" s="7"/>
      <c r="O226" s="6"/>
      <c r="R226" s="7"/>
      <c r="S226" s="6"/>
      <c r="T226" s="6"/>
      <c r="U226" s="7"/>
      <c r="V226" s="7"/>
    </row>
    <row r="227" spans="3:22" x14ac:dyDescent="0.2">
      <c r="C227" s="6"/>
      <c r="D227" s="6"/>
      <c r="E227" s="7"/>
      <c r="F227" s="7"/>
      <c r="G227" s="7"/>
      <c r="H227" s="7"/>
      <c r="O227" s="6"/>
      <c r="R227" s="7"/>
      <c r="S227" s="6"/>
      <c r="T227" s="6"/>
      <c r="U227" s="7"/>
      <c r="V227" s="7"/>
    </row>
    <row r="228" spans="3:22" x14ac:dyDescent="0.2">
      <c r="C228" s="6"/>
      <c r="D228" s="6"/>
      <c r="E228" s="7"/>
      <c r="F228" s="7"/>
      <c r="G228" s="7"/>
      <c r="H228" s="7"/>
      <c r="O228" s="6"/>
      <c r="R228" s="7"/>
      <c r="S228" s="6"/>
      <c r="T228" s="6"/>
      <c r="U228" s="7"/>
      <c r="V228" s="7"/>
    </row>
    <row r="229" spans="3:22" x14ac:dyDescent="0.2">
      <c r="C229" s="6"/>
      <c r="D229" s="6"/>
      <c r="E229" s="7"/>
      <c r="F229" s="7"/>
      <c r="G229" s="7"/>
      <c r="H229" s="7"/>
      <c r="O229" s="6"/>
      <c r="R229" s="7"/>
      <c r="S229" s="6"/>
      <c r="T229" s="6"/>
      <c r="U229" s="7"/>
      <c r="V229" s="7"/>
    </row>
    <row r="230" spans="3:22" x14ac:dyDescent="0.2">
      <c r="C230" s="6"/>
      <c r="D230" s="6"/>
      <c r="E230" s="7"/>
      <c r="F230" s="7"/>
      <c r="G230" s="7"/>
      <c r="H230" s="7"/>
      <c r="O230" s="6"/>
      <c r="R230" s="7"/>
      <c r="S230" s="6"/>
      <c r="T230" s="6"/>
      <c r="U230" s="7"/>
      <c r="V230" s="7"/>
    </row>
    <row r="231" spans="3:22" x14ac:dyDescent="0.2">
      <c r="C231" s="6"/>
      <c r="D231" s="6"/>
      <c r="E231" s="7"/>
      <c r="F231" s="7"/>
      <c r="G231" s="7"/>
      <c r="H231" s="7"/>
      <c r="O231" s="6"/>
      <c r="R231" s="7"/>
      <c r="S231" s="6"/>
      <c r="T231" s="6"/>
      <c r="U231" s="7"/>
      <c r="V231" s="7"/>
    </row>
    <row r="232" spans="3:22" x14ac:dyDescent="0.2">
      <c r="C232" s="6"/>
      <c r="D232" s="6"/>
      <c r="E232" s="7"/>
      <c r="F232" s="7"/>
      <c r="G232" s="7"/>
      <c r="H232" s="7"/>
      <c r="O232" s="6"/>
      <c r="R232" s="7"/>
      <c r="S232" s="6"/>
      <c r="T232" s="6"/>
      <c r="U232" s="7"/>
      <c r="V232" s="7"/>
    </row>
    <row r="233" spans="3:22" x14ac:dyDescent="0.2">
      <c r="C233" s="6"/>
      <c r="D233" s="6"/>
      <c r="E233" s="7"/>
      <c r="F233" s="7"/>
      <c r="G233" s="7"/>
      <c r="H233" s="7"/>
      <c r="O233" s="6"/>
      <c r="R233" s="7"/>
      <c r="S233" s="6"/>
      <c r="T233" s="6"/>
      <c r="U233" s="7"/>
      <c r="V233" s="7"/>
    </row>
    <row r="234" spans="3:22" x14ac:dyDescent="0.2">
      <c r="C234" s="6"/>
      <c r="D234" s="6"/>
      <c r="E234" s="7"/>
      <c r="F234" s="7"/>
      <c r="G234" s="7"/>
      <c r="H234" s="7"/>
      <c r="O234" s="6"/>
      <c r="R234" s="7"/>
      <c r="S234" s="6"/>
      <c r="T234" s="6"/>
      <c r="U234" s="7"/>
      <c r="V234" s="7"/>
    </row>
    <row r="235" spans="3:22" x14ac:dyDescent="0.2">
      <c r="C235" s="6"/>
      <c r="D235" s="6"/>
      <c r="E235" s="7"/>
      <c r="F235" s="7"/>
      <c r="G235" s="7"/>
      <c r="H235" s="7"/>
      <c r="O235" s="6"/>
      <c r="R235" s="7"/>
      <c r="S235" s="6"/>
      <c r="T235" s="6"/>
      <c r="U235" s="7"/>
      <c r="V235" s="7"/>
    </row>
    <row r="236" spans="3:22" x14ac:dyDescent="0.2">
      <c r="C236" s="6"/>
      <c r="D236" s="6"/>
      <c r="E236" s="7"/>
      <c r="F236" s="7"/>
      <c r="G236" s="7"/>
      <c r="H236" s="7"/>
      <c r="O236" s="6"/>
      <c r="R236" s="7"/>
      <c r="S236" s="6"/>
      <c r="T236" s="6"/>
      <c r="U236" s="7"/>
      <c r="V236" s="7"/>
    </row>
    <row r="237" spans="3:22" x14ac:dyDescent="0.2">
      <c r="C237" s="6"/>
      <c r="D237" s="6"/>
      <c r="E237" s="7"/>
      <c r="F237" s="7"/>
      <c r="G237" s="7"/>
      <c r="H237" s="7"/>
      <c r="O237" s="6"/>
      <c r="R237" s="7"/>
      <c r="S237" s="6"/>
      <c r="T237" s="6"/>
      <c r="U237" s="7"/>
      <c r="V237" s="7"/>
    </row>
    <row r="238" spans="3:22" x14ac:dyDescent="0.2">
      <c r="C238" s="6"/>
      <c r="D238" s="6"/>
      <c r="E238" s="7"/>
      <c r="F238" s="7"/>
      <c r="G238" s="7"/>
      <c r="H238" s="7"/>
      <c r="O238" s="6"/>
      <c r="R238" s="7"/>
      <c r="S238" s="6"/>
      <c r="T238" s="6"/>
      <c r="U238" s="7"/>
      <c r="V238" s="7"/>
    </row>
    <row r="239" spans="3:22" x14ac:dyDescent="0.2">
      <c r="C239" s="6"/>
      <c r="D239" s="6"/>
      <c r="E239" s="7"/>
      <c r="F239" s="7"/>
      <c r="G239" s="7"/>
      <c r="H239" s="7"/>
      <c r="O239" s="6"/>
      <c r="R239" s="7"/>
      <c r="S239" s="6"/>
      <c r="T239" s="6"/>
      <c r="U239" s="7"/>
      <c r="V239" s="7"/>
    </row>
    <row r="240" spans="3:22" x14ac:dyDescent="0.2">
      <c r="C240" s="6"/>
      <c r="D240" s="6"/>
      <c r="E240" s="7"/>
      <c r="F240" s="7"/>
      <c r="G240" s="7"/>
      <c r="H240" s="7"/>
      <c r="O240" s="6"/>
      <c r="R240" s="7"/>
      <c r="S240" s="6"/>
      <c r="T240" s="6"/>
      <c r="U240" s="7"/>
      <c r="V240" s="7"/>
    </row>
    <row r="241" spans="3:22" x14ac:dyDescent="0.2">
      <c r="C241" s="6"/>
      <c r="D241" s="6"/>
      <c r="E241" s="7"/>
      <c r="F241" s="7"/>
      <c r="G241" s="7"/>
      <c r="H241" s="7"/>
      <c r="O241" s="6"/>
      <c r="R241" s="7"/>
      <c r="S241" s="6"/>
      <c r="T241" s="6"/>
      <c r="U241" s="7"/>
      <c r="V241" s="7"/>
    </row>
    <row r="242" spans="3:22" x14ac:dyDescent="0.2">
      <c r="C242" s="6"/>
      <c r="D242" s="6"/>
      <c r="E242" s="7"/>
      <c r="F242" s="7"/>
      <c r="G242" s="7"/>
      <c r="H242" s="7"/>
      <c r="O242" s="6"/>
      <c r="R242" s="7"/>
      <c r="S242" s="6"/>
      <c r="T242" s="6"/>
      <c r="U242" s="7"/>
      <c r="V242" s="7"/>
    </row>
    <row r="243" spans="3:22" x14ac:dyDescent="0.2">
      <c r="C243" s="6"/>
      <c r="D243" s="6"/>
      <c r="E243" s="7"/>
      <c r="F243" s="7"/>
      <c r="G243" s="7"/>
      <c r="H243" s="7"/>
      <c r="O243" s="6"/>
      <c r="R243" s="7"/>
      <c r="S243" s="6"/>
      <c r="T243" s="6"/>
      <c r="U243" s="7"/>
      <c r="V243" s="7"/>
    </row>
    <row r="244" spans="3:22" x14ac:dyDescent="0.2">
      <c r="C244" s="6"/>
      <c r="D244" s="6"/>
      <c r="E244" s="7"/>
      <c r="F244" s="7"/>
      <c r="G244" s="7"/>
      <c r="H244" s="7"/>
      <c r="O244" s="6"/>
      <c r="R244" s="7"/>
      <c r="S244" s="6"/>
      <c r="T244" s="6"/>
      <c r="U244" s="7"/>
      <c r="V244" s="7"/>
    </row>
    <row r="245" spans="3:22" x14ac:dyDescent="0.2">
      <c r="C245" s="6"/>
      <c r="D245" s="6"/>
      <c r="E245" s="7"/>
      <c r="F245" s="7"/>
      <c r="G245" s="7"/>
      <c r="H245" s="7"/>
      <c r="O245" s="6"/>
      <c r="R245" s="7"/>
      <c r="S245" s="6"/>
      <c r="T245" s="6"/>
      <c r="U245" s="7"/>
      <c r="V245" s="7"/>
    </row>
    <row r="246" spans="3:22" x14ac:dyDescent="0.2">
      <c r="C246" s="6"/>
      <c r="D246" s="6"/>
      <c r="E246" s="7"/>
      <c r="F246" s="7"/>
      <c r="G246" s="7"/>
      <c r="H246" s="7"/>
      <c r="O246" s="6"/>
      <c r="R246" s="7"/>
      <c r="S246" s="6"/>
      <c r="T246" s="6"/>
      <c r="U246" s="7"/>
      <c r="V246" s="7"/>
    </row>
    <row r="247" spans="3:22" x14ac:dyDescent="0.2">
      <c r="C247" s="6"/>
      <c r="D247" s="6"/>
      <c r="E247" s="7"/>
      <c r="F247" s="7"/>
      <c r="G247" s="7"/>
      <c r="H247" s="7"/>
      <c r="O247" s="6"/>
      <c r="R247" s="7"/>
      <c r="S247" s="6"/>
      <c r="T247" s="6"/>
      <c r="U247" s="7"/>
      <c r="V247" s="7"/>
    </row>
    <row r="248" spans="3:22" x14ac:dyDescent="0.2">
      <c r="C248" s="6"/>
      <c r="D248" s="6"/>
      <c r="E248" s="7"/>
      <c r="F248" s="7"/>
      <c r="G248" s="7"/>
      <c r="H248" s="7"/>
      <c r="O248" s="6"/>
      <c r="R248" s="7"/>
      <c r="S248" s="6"/>
      <c r="T248" s="6"/>
      <c r="U248" s="7"/>
      <c r="V248" s="7"/>
    </row>
    <row r="249" spans="3:22" x14ac:dyDescent="0.2">
      <c r="C249" s="6"/>
      <c r="D249" s="6"/>
      <c r="E249" s="7"/>
      <c r="F249" s="7"/>
      <c r="G249" s="7"/>
      <c r="H249" s="7"/>
      <c r="O249" s="6"/>
      <c r="R249" s="7"/>
      <c r="S249" s="6"/>
      <c r="T249" s="6"/>
      <c r="U249" s="7"/>
      <c r="V249" s="7"/>
    </row>
    <row r="250" spans="3:22" x14ac:dyDescent="0.2">
      <c r="C250" s="6"/>
      <c r="D250" s="6"/>
      <c r="E250" s="7"/>
      <c r="F250" s="7"/>
      <c r="G250" s="7"/>
      <c r="H250" s="7"/>
      <c r="O250" s="6"/>
      <c r="R250" s="7"/>
      <c r="S250" s="6"/>
      <c r="T250" s="6"/>
      <c r="U250" s="7"/>
      <c r="V250" s="7"/>
    </row>
    <row r="251" spans="3:22" x14ac:dyDescent="0.2">
      <c r="C251" s="6"/>
      <c r="D251" s="6"/>
      <c r="E251" s="7"/>
      <c r="F251" s="7"/>
      <c r="G251" s="7"/>
      <c r="H251" s="7"/>
      <c r="O251" s="6"/>
      <c r="R251" s="7"/>
      <c r="S251" s="6"/>
      <c r="T251" s="6"/>
      <c r="U251" s="7"/>
      <c r="V251" s="7"/>
    </row>
    <row r="252" spans="3:22" x14ac:dyDescent="0.2">
      <c r="C252" s="6"/>
      <c r="D252" s="6"/>
      <c r="E252" s="7"/>
      <c r="F252" s="7"/>
      <c r="G252" s="7"/>
      <c r="H252" s="7"/>
      <c r="O252" s="6"/>
      <c r="R252" s="7"/>
      <c r="S252" s="6"/>
      <c r="T252" s="6"/>
      <c r="U252" s="7"/>
      <c r="V252" s="7"/>
    </row>
    <row r="253" spans="3:22" x14ac:dyDescent="0.2">
      <c r="C253" s="6"/>
      <c r="D253" s="6"/>
      <c r="E253" s="7"/>
      <c r="F253" s="7"/>
      <c r="G253" s="7"/>
      <c r="H253" s="7"/>
      <c r="O253" s="6"/>
      <c r="R253" s="7"/>
      <c r="S253" s="6"/>
      <c r="T253" s="6"/>
      <c r="U253" s="7"/>
      <c r="V253" s="7"/>
    </row>
    <row r="254" spans="3:22" x14ac:dyDescent="0.2">
      <c r="C254" s="6"/>
      <c r="D254" s="6"/>
      <c r="E254" s="7"/>
      <c r="F254" s="7"/>
      <c r="G254" s="7"/>
      <c r="H254" s="7"/>
      <c r="O254" s="6"/>
      <c r="R254" s="7"/>
      <c r="S254" s="6"/>
      <c r="T254" s="6"/>
      <c r="U254" s="7"/>
      <c r="V254" s="7"/>
    </row>
    <row r="255" spans="3:22" x14ac:dyDescent="0.2">
      <c r="C255" s="6"/>
      <c r="D255" s="6"/>
      <c r="E255" s="7"/>
      <c r="F255" s="7"/>
      <c r="G255" s="7"/>
      <c r="H255" s="7"/>
      <c r="O255" s="6"/>
      <c r="R255" s="7"/>
      <c r="S255" s="6"/>
      <c r="T255" s="6"/>
      <c r="U255" s="7"/>
      <c r="V255" s="7"/>
    </row>
    <row r="256" spans="3:22" x14ac:dyDescent="0.2">
      <c r="C256" s="6"/>
      <c r="D256" s="6"/>
      <c r="E256" s="7"/>
      <c r="F256" s="7"/>
      <c r="G256" s="7"/>
      <c r="H256" s="7"/>
      <c r="O256" s="6"/>
      <c r="R256" s="7"/>
      <c r="S256" s="6"/>
      <c r="T256" s="6"/>
      <c r="U256" s="7"/>
      <c r="V256" s="7"/>
    </row>
    <row r="257" spans="3:22" x14ac:dyDescent="0.2">
      <c r="C257" s="6"/>
      <c r="D257" s="6"/>
      <c r="E257" s="7"/>
      <c r="F257" s="7"/>
      <c r="G257" s="7"/>
      <c r="H257" s="7"/>
      <c r="O257" s="6"/>
      <c r="R257" s="7"/>
      <c r="S257" s="6"/>
      <c r="T257" s="6"/>
      <c r="U257" s="7"/>
      <c r="V257" s="7"/>
    </row>
    <row r="258" spans="3:22" x14ac:dyDescent="0.2">
      <c r="C258" s="6"/>
      <c r="D258" s="6"/>
      <c r="E258" s="7"/>
      <c r="F258" s="7"/>
      <c r="G258" s="7"/>
      <c r="H258" s="7"/>
      <c r="O258" s="6"/>
      <c r="R258" s="7"/>
      <c r="S258" s="6"/>
      <c r="T258" s="6"/>
      <c r="U258" s="7"/>
      <c r="V258" s="7"/>
    </row>
    <row r="259" spans="3:22" x14ac:dyDescent="0.2">
      <c r="C259" s="6"/>
      <c r="D259" s="6"/>
      <c r="E259" s="7"/>
      <c r="F259" s="7"/>
      <c r="G259" s="7"/>
      <c r="H259" s="7"/>
      <c r="O259" s="6"/>
      <c r="R259" s="7"/>
      <c r="S259" s="6"/>
      <c r="T259" s="6"/>
      <c r="U259" s="7"/>
      <c r="V259" s="7"/>
    </row>
    <row r="260" spans="3:22" x14ac:dyDescent="0.2">
      <c r="C260" s="6"/>
      <c r="D260" s="6"/>
      <c r="E260" s="7"/>
      <c r="F260" s="7"/>
      <c r="G260" s="7"/>
      <c r="H260" s="7"/>
      <c r="O260" s="6"/>
      <c r="R260" s="7"/>
      <c r="S260" s="6"/>
      <c r="T260" s="6"/>
      <c r="U260" s="7"/>
      <c r="V260" s="7"/>
    </row>
    <row r="261" spans="3:22" x14ac:dyDescent="0.2">
      <c r="C261" s="6"/>
      <c r="D261" s="6"/>
      <c r="E261" s="7"/>
      <c r="F261" s="7"/>
      <c r="G261" s="7"/>
      <c r="H261" s="7"/>
      <c r="O261" s="6"/>
      <c r="R261" s="7"/>
      <c r="S261" s="6"/>
      <c r="T261" s="6"/>
      <c r="U261" s="7"/>
      <c r="V261" s="7"/>
    </row>
    <row r="262" spans="3:22" x14ac:dyDescent="0.2">
      <c r="C262" s="6"/>
      <c r="D262" s="6"/>
      <c r="E262" s="7"/>
      <c r="F262" s="7"/>
      <c r="G262" s="7"/>
      <c r="H262" s="7"/>
      <c r="O262" s="6"/>
      <c r="R262" s="7"/>
      <c r="S262" s="6"/>
      <c r="T262" s="6"/>
      <c r="U262" s="7"/>
      <c r="V262" s="7"/>
    </row>
    <row r="263" spans="3:22" x14ac:dyDescent="0.2">
      <c r="C263" s="6"/>
      <c r="D263" s="6"/>
      <c r="E263" s="7"/>
      <c r="F263" s="7"/>
      <c r="G263" s="7"/>
      <c r="H263" s="7"/>
      <c r="O263" s="6"/>
      <c r="R263" s="7"/>
      <c r="S263" s="6"/>
      <c r="T263" s="6"/>
      <c r="U263" s="7"/>
      <c r="V263" s="7"/>
    </row>
    <row r="264" spans="3:22" x14ac:dyDescent="0.2">
      <c r="C264" s="6"/>
      <c r="D264" s="6"/>
      <c r="E264" s="7"/>
      <c r="F264" s="7"/>
      <c r="G264" s="7"/>
      <c r="H264" s="7"/>
      <c r="O264" s="6"/>
      <c r="R264" s="7"/>
      <c r="S264" s="6"/>
      <c r="T264" s="6"/>
      <c r="U264" s="7"/>
      <c r="V264" s="7"/>
    </row>
    <row r="265" spans="3:22" x14ac:dyDescent="0.2">
      <c r="C265" s="6"/>
      <c r="D265" s="6"/>
      <c r="E265" s="7"/>
      <c r="F265" s="7"/>
      <c r="G265" s="7"/>
      <c r="H265" s="7"/>
      <c r="O265" s="6"/>
      <c r="R265" s="7"/>
      <c r="S265" s="6"/>
      <c r="T265" s="6"/>
      <c r="U265" s="7"/>
      <c r="V265" s="7"/>
    </row>
    <row r="266" spans="3:22" x14ac:dyDescent="0.2">
      <c r="C266" s="6"/>
      <c r="D266" s="6"/>
      <c r="E266" s="7"/>
      <c r="F266" s="7"/>
      <c r="G266" s="7"/>
      <c r="H266" s="7"/>
      <c r="O266" s="6"/>
      <c r="R266" s="7"/>
      <c r="S266" s="6"/>
      <c r="T266" s="6"/>
      <c r="U266" s="7"/>
      <c r="V266" s="7"/>
    </row>
    <row r="267" spans="3:22" x14ac:dyDescent="0.2">
      <c r="C267" s="6"/>
      <c r="D267" s="6"/>
      <c r="E267" s="7"/>
      <c r="F267" s="7"/>
      <c r="G267" s="7"/>
      <c r="H267" s="7"/>
      <c r="O267" s="6"/>
      <c r="R267" s="7"/>
      <c r="S267" s="6"/>
      <c r="T267" s="6"/>
      <c r="U267" s="7"/>
      <c r="V267" s="7"/>
    </row>
    <row r="268" spans="3:22" x14ac:dyDescent="0.2">
      <c r="C268" s="6"/>
      <c r="D268" s="6"/>
      <c r="E268" s="7"/>
      <c r="F268" s="7"/>
      <c r="G268" s="7"/>
      <c r="H268" s="7"/>
      <c r="O268" s="6"/>
      <c r="R268" s="7"/>
      <c r="S268" s="6"/>
      <c r="T268" s="6"/>
      <c r="U268" s="7"/>
      <c r="V268" s="7"/>
    </row>
    <row r="269" spans="3:22" x14ac:dyDescent="0.2">
      <c r="C269" s="6"/>
      <c r="D269" s="6"/>
      <c r="E269" s="7"/>
      <c r="F269" s="7"/>
      <c r="G269" s="7"/>
      <c r="H269" s="7"/>
      <c r="O269" s="6"/>
      <c r="R269" s="7"/>
      <c r="S269" s="6"/>
      <c r="T269" s="6"/>
      <c r="U269" s="7"/>
      <c r="V269" s="7"/>
    </row>
    <row r="270" spans="3:22" x14ac:dyDescent="0.2">
      <c r="C270" s="6"/>
      <c r="D270" s="6"/>
      <c r="E270" s="7"/>
      <c r="F270" s="7"/>
      <c r="G270" s="7"/>
      <c r="H270" s="7"/>
      <c r="O270" s="6"/>
      <c r="R270" s="7"/>
      <c r="S270" s="6"/>
      <c r="T270" s="6"/>
      <c r="U270" s="7"/>
      <c r="V270" s="7"/>
    </row>
    <row r="271" spans="3:22" x14ac:dyDescent="0.2">
      <c r="C271" s="6"/>
      <c r="D271" s="6"/>
      <c r="E271" s="7"/>
      <c r="F271" s="7"/>
      <c r="G271" s="7"/>
      <c r="H271" s="7"/>
      <c r="O271" s="6"/>
      <c r="R271" s="7"/>
      <c r="S271" s="6"/>
      <c r="T271" s="6"/>
      <c r="U271" s="7"/>
      <c r="V271" s="7"/>
    </row>
    <row r="272" spans="3:22" x14ac:dyDescent="0.2">
      <c r="C272" s="6"/>
      <c r="D272" s="6"/>
      <c r="E272" s="7"/>
      <c r="F272" s="7"/>
      <c r="G272" s="7"/>
      <c r="H272" s="7"/>
      <c r="O272" s="6"/>
      <c r="R272" s="7"/>
      <c r="S272" s="6"/>
      <c r="T272" s="6"/>
      <c r="U272" s="7"/>
      <c r="V272" s="7"/>
    </row>
    <row r="273" spans="3:22" x14ac:dyDescent="0.2">
      <c r="C273" s="6"/>
      <c r="D273" s="6"/>
      <c r="E273" s="7"/>
      <c r="F273" s="7"/>
      <c r="G273" s="7"/>
      <c r="H273" s="7"/>
      <c r="O273" s="6"/>
      <c r="R273" s="7"/>
      <c r="S273" s="6"/>
      <c r="T273" s="6"/>
      <c r="U273" s="7"/>
      <c r="V273" s="7"/>
    </row>
    <row r="274" spans="3:22" x14ac:dyDescent="0.2">
      <c r="C274" s="6"/>
      <c r="D274" s="6"/>
      <c r="E274" s="7"/>
      <c r="F274" s="7"/>
      <c r="G274" s="7"/>
      <c r="H274" s="7"/>
      <c r="O274" s="6"/>
      <c r="R274" s="7"/>
      <c r="S274" s="6"/>
      <c r="T274" s="6"/>
      <c r="U274" s="7"/>
      <c r="V274" s="7"/>
    </row>
    <row r="275" spans="3:22" x14ac:dyDescent="0.2">
      <c r="C275" s="6"/>
      <c r="D275" s="6"/>
      <c r="E275" s="7"/>
      <c r="F275" s="7"/>
      <c r="G275" s="7"/>
      <c r="H275" s="7"/>
      <c r="O275" s="6"/>
      <c r="R275" s="7"/>
      <c r="S275" s="6"/>
      <c r="T275" s="6"/>
      <c r="U275" s="7"/>
      <c r="V275" s="7"/>
    </row>
    <row r="276" spans="3:22" x14ac:dyDescent="0.2">
      <c r="C276" s="6"/>
      <c r="D276" s="6"/>
      <c r="E276" s="7"/>
      <c r="F276" s="7"/>
      <c r="G276" s="7"/>
      <c r="H276" s="7"/>
      <c r="O276" s="6"/>
      <c r="R276" s="7"/>
      <c r="S276" s="6"/>
      <c r="T276" s="6"/>
      <c r="U276" s="7"/>
      <c r="V276" s="7"/>
    </row>
    <row r="277" spans="3:22" x14ac:dyDescent="0.2">
      <c r="C277" s="6"/>
      <c r="D277" s="6"/>
      <c r="E277" s="7"/>
      <c r="F277" s="7"/>
      <c r="G277" s="7"/>
      <c r="H277" s="7"/>
      <c r="O277" s="6"/>
      <c r="R277" s="7"/>
      <c r="S277" s="6"/>
      <c r="T277" s="6"/>
      <c r="U277" s="7"/>
      <c r="V277" s="7"/>
    </row>
    <row r="278" spans="3:22" x14ac:dyDescent="0.2">
      <c r="C278" s="6"/>
      <c r="D278" s="6"/>
      <c r="E278" s="7"/>
      <c r="F278" s="7"/>
      <c r="G278" s="7"/>
      <c r="H278" s="7"/>
      <c r="O278" s="6"/>
      <c r="R278" s="7"/>
      <c r="S278" s="6"/>
      <c r="T278" s="6"/>
      <c r="U278" s="7"/>
      <c r="V278" s="7"/>
    </row>
    <row r="279" spans="3:22" x14ac:dyDescent="0.2">
      <c r="C279" s="6"/>
      <c r="D279" s="6"/>
      <c r="E279" s="7"/>
      <c r="F279" s="7"/>
      <c r="G279" s="7"/>
      <c r="H279" s="7"/>
      <c r="O279" s="6"/>
      <c r="R279" s="7"/>
      <c r="S279" s="6"/>
      <c r="T279" s="6"/>
      <c r="U279" s="7"/>
      <c r="V279" s="7"/>
    </row>
    <row r="280" spans="3:22" x14ac:dyDescent="0.2">
      <c r="C280" s="6"/>
      <c r="D280" s="6"/>
      <c r="E280" s="7"/>
      <c r="F280" s="7"/>
      <c r="G280" s="7"/>
      <c r="H280" s="7"/>
      <c r="O280" s="6"/>
      <c r="R280" s="7"/>
      <c r="S280" s="6"/>
      <c r="T280" s="6"/>
      <c r="U280" s="7"/>
      <c r="V280" s="7"/>
    </row>
    <row r="281" spans="3:22" x14ac:dyDescent="0.2">
      <c r="C281" s="6"/>
      <c r="D281" s="6"/>
      <c r="E281" s="7"/>
      <c r="F281" s="7"/>
      <c r="G281" s="7"/>
      <c r="H281" s="7"/>
      <c r="O281" s="6"/>
      <c r="R281" s="7"/>
      <c r="S281" s="6"/>
      <c r="T281" s="6"/>
      <c r="U281" s="7"/>
      <c r="V281" s="7"/>
    </row>
    <row r="282" spans="3:22" x14ac:dyDescent="0.2">
      <c r="C282" s="6"/>
      <c r="D282" s="6"/>
      <c r="E282" s="7"/>
      <c r="F282" s="7"/>
      <c r="G282" s="7"/>
      <c r="H282" s="7"/>
      <c r="O282" s="6"/>
      <c r="R282" s="7"/>
      <c r="S282" s="6"/>
      <c r="T282" s="6"/>
      <c r="U282" s="7"/>
      <c r="V282" s="7"/>
    </row>
    <row r="283" spans="3:22" x14ac:dyDescent="0.2">
      <c r="C283" s="6"/>
      <c r="D283" s="6"/>
      <c r="E283" s="7"/>
      <c r="F283" s="7"/>
      <c r="G283" s="7"/>
      <c r="H283" s="7"/>
      <c r="O283" s="6"/>
      <c r="R283" s="7"/>
      <c r="S283" s="6"/>
      <c r="T283" s="6"/>
      <c r="U283" s="7"/>
      <c r="V283" s="7"/>
    </row>
    <row r="284" spans="3:22" x14ac:dyDescent="0.2">
      <c r="C284" s="6"/>
      <c r="D284" s="6"/>
      <c r="E284" s="7"/>
      <c r="F284" s="7"/>
      <c r="G284" s="7"/>
      <c r="H284" s="7"/>
      <c r="O284" s="6"/>
      <c r="R284" s="7"/>
      <c r="S284" s="6"/>
      <c r="T284" s="6"/>
      <c r="U284" s="7"/>
      <c r="V284" s="7"/>
    </row>
    <row r="285" spans="3:22" x14ac:dyDescent="0.2">
      <c r="C285" s="6"/>
      <c r="D285" s="6"/>
      <c r="E285" s="7"/>
      <c r="F285" s="7"/>
      <c r="G285" s="7"/>
      <c r="H285" s="7"/>
      <c r="O285" s="6"/>
      <c r="R285" s="7"/>
      <c r="S285" s="6"/>
      <c r="T285" s="6"/>
      <c r="U285" s="7"/>
      <c r="V285" s="7"/>
    </row>
    <row r="286" spans="3:22" x14ac:dyDescent="0.2">
      <c r="C286" s="6"/>
      <c r="D286" s="6"/>
      <c r="E286" s="7"/>
      <c r="F286" s="7"/>
      <c r="G286" s="7"/>
      <c r="H286" s="7"/>
      <c r="O286" s="6"/>
      <c r="R286" s="7"/>
      <c r="S286" s="6"/>
      <c r="T286" s="6"/>
      <c r="U286" s="7"/>
      <c r="V286" s="7"/>
    </row>
    <row r="287" spans="3:22" x14ac:dyDescent="0.2">
      <c r="C287" s="6"/>
      <c r="D287" s="6"/>
      <c r="E287" s="7"/>
      <c r="F287" s="7"/>
      <c r="G287" s="7"/>
      <c r="H287" s="7"/>
      <c r="O287" s="6"/>
      <c r="R287" s="7"/>
      <c r="S287" s="6"/>
      <c r="T287" s="6"/>
      <c r="U287" s="7"/>
      <c r="V287" s="7"/>
    </row>
    <row r="288" spans="3:22" x14ac:dyDescent="0.2">
      <c r="C288" s="6"/>
      <c r="D288" s="6"/>
      <c r="E288" s="7"/>
      <c r="F288" s="7"/>
      <c r="G288" s="7"/>
      <c r="H288" s="7"/>
      <c r="O288" s="6"/>
      <c r="R288" s="7"/>
      <c r="S288" s="6"/>
      <c r="T288" s="6"/>
      <c r="U288" s="7"/>
      <c r="V288" s="7"/>
    </row>
    <row r="289" spans="3:22" x14ac:dyDescent="0.2">
      <c r="C289" s="6"/>
      <c r="D289" s="6"/>
      <c r="E289" s="7"/>
      <c r="F289" s="7"/>
      <c r="G289" s="7"/>
      <c r="H289" s="7"/>
      <c r="O289" s="6"/>
      <c r="R289" s="7"/>
      <c r="S289" s="6"/>
      <c r="T289" s="6"/>
      <c r="U289" s="7"/>
      <c r="V289" s="7"/>
    </row>
    <row r="290" spans="3:22" x14ac:dyDescent="0.2">
      <c r="C290" s="6"/>
      <c r="D290" s="6"/>
      <c r="E290" s="7"/>
      <c r="F290" s="7"/>
      <c r="G290" s="7"/>
      <c r="H290" s="7"/>
      <c r="O290" s="6"/>
      <c r="R290" s="7"/>
      <c r="S290" s="6"/>
      <c r="T290" s="6"/>
      <c r="U290" s="7"/>
      <c r="V290" s="7"/>
    </row>
    <row r="291" spans="3:22" x14ac:dyDescent="0.2">
      <c r="C291" s="6"/>
      <c r="D291" s="6"/>
      <c r="E291" s="7"/>
      <c r="F291" s="7"/>
      <c r="G291" s="7"/>
      <c r="H291" s="7"/>
      <c r="O291" s="6"/>
      <c r="R291" s="7"/>
      <c r="S291" s="6"/>
      <c r="T291" s="6"/>
      <c r="U291" s="7"/>
      <c r="V291" s="7"/>
    </row>
    <row r="292" spans="3:22" x14ac:dyDescent="0.2">
      <c r="C292" s="6"/>
      <c r="D292" s="6"/>
      <c r="E292" s="7"/>
      <c r="F292" s="7"/>
      <c r="G292" s="7"/>
      <c r="H292" s="7"/>
      <c r="O292" s="6"/>
      <c r="R292" s="7"/>
      <c r="S292" s="6"/>
      <c r="T292" s="6"/>
      <c r="U292" s="7"/>
      <c r="V292" s="7"/>
    </row>
    <row r="293" spans="3:22" x14ac:dyDescent="0.2">
      <c r="C293" s="6"/>
      <c r="D293" s="6"/>
      <c r="E293" s="7"/>
      <c r="F293" s="7"/>
      <c r="G293" s="7"/>
      <c r="H293" s="7"/>
      <c r="O293" s="6"/>
      <c r="R293" s="7"/>
      <c r="S293" s="6"/>
      <c r="T293" s="6"/>
      <c r="U293" s="7"/>
      <c r="V293" s="7"/>
    </row>
    <row r="294" spans="3:22" x14ac:dyDescent="0.2">
      <c r="C294" s="6"/>
      <c r="D294" s="6"/>
      <c r="E294" s="7"/>
      <c r="F294" s="7"/>
      <c r="G294" s="7"/>
      <c r="H294" s="7"/>
      <c r="O294" s="6"/>
      <c r="R294" s="7"/>
      <c r="S294" s="6"/>
      <c r="T294" s="6"/>
      <c r="U294" s="7"/>
      <c r="V294" s="7"/>
    </row>
    <row r="295" spans="3:22" x14ac:dyDescent="0.2">
      <c r="C295" s="6"/>
      <c r="D295" s="6"/>
      <c r="E295" s="7"/>
      <c r="F295" s="7"/>
      <c r="G295" s="7"/>
      <c r="H295" s="7"/>
      <c r="O295" s="6"/>
      <c r="R295" s="7"/>
      <c r="S295" s="6"/>
      <c r="T295" s="6"/>
      <c r="U295" s="7"/>
      <c r="V295" s="7"/>
    </row>
    <row r="296" spans="3:22" x14ac:dyDescent="0.2">
      <c r="C296" s="6"/>
      <c r="D296" s="6"/>
      <c r="E296" s="7"/>
      <c r="F296" s="7"/>
      <c r="G296" s="7"/>
      <c r="H296" s="7"/>
      <c r="O296" s="6"/>
      <c r="R296" s="7"/>
      <c r="S296" s="6"/>
      <c r="T296" s="6"/>
      <c r="U296" s="7"/>
      <c r="V296" s="7"/>
    </row>
    <row r="297" spans="3:22" x14ac:dyDescent="0.2">
      <c r="C297" s="6"/>
      <c r="D297" s="6"/>
      <c r="E297" s="7"/>
      <c r="F297" s="7"/>
      <c r="G297" s="7"/>
      <c r="H297" s="7"/>
      <c r="O297" s="6"/>
      <c r="R297" s="7"/>
      <c r="S297" s="6"/>
      <c r="T297" s="6"/>
      <c r="U297" s="7"/>
      <c r="V297" s="7"/>
    </row>
    <row r="298" spans="3:22" x14ac:dyDescent="0.2">
      <c r="C298" s="6"/>
      <c r="D298" s="6"/>
      <c r="E298" s="7"/>
      <c r="F298" s="7"/>
      <c r="G298" s="7"/>
      <c r="H298" s="7"/>
      <c r="O298" s="6"/>
      <c r="R298" s="7"/>
      <c r="S298" s="6"/>
      <c r="T298" s="6"/>
      <c r="U298" s="7"/>
      <c r="V298" s="7"/>
    </row>
    <row r="299" spans="3:22" x14ac:dyDescent="0.2">
      <c r="C299" s="6"/>
      <c r="D299" s="6"/>
      <c r="E299" s="7"/>
      <c r="F299" s="7"/>
      <c r="G299" s="7"/>
      <c r="H299" s="7"/>
      <c r="O299" s="6"/>
      <c r="R299" s="7"/>
      <c r="S299" s="6"/>
      <c r="T299" s="6"/>
      <c r="U299" s="7"/>
      <c r="V299" s="7"/>
    </row>
    <row r="300" spans="3:22" x14ac:dyDescent="0.2">
      <c r="C300" s="6"/>
      <c r="D300" s="6"/>
      <c r="E300" s="7"/>
      <c r="F300" s="7"/>
      <c r="G300" s="7"/>
      <c r="H300" s="7"/>
      <c r="O300" s="6"/>
      <c r="R300" s="7"/>
      <c r="S300" s="6"/>
      <c r="T300" s="6"/>
      <c r="U300" s="7"/>
      <c r="V300" s="7"/>
    </row>
    <row r="301" spans="3:22" x14ac:dyDescent="0.2">
      <c r="C301" s="6"/>
      <c r="D301" s="6"/>
      <c r="E301" s="7"/>
      <c r="F301" s="7"/>
      <c r="G301" s="7"/>
      <c r="H301" s="7"/>
      <c r="O301" s="6"/>
      <c r="R301" s="7"/>
      <c r="S301" s="6"/>
      <c r="T301" s="6"/>
      <c r="U301" s="7"/>
      <c r="V301" s="7"/>
    </row>
    <row r="302" spans="3:22" x14ac:dyDescent="0.2">
      <c r="C302" s="6"/>
      <c r="D302" s="6"/>
      <c r="E302" s="7"/>
      <c r="F302" s="7"/>
      <c r="G302" s="7"/>
      <c r="H302" s="7"/>
      <c r="O302" s="6"/>
      <c r="R302" s="7"/>
      <c r="S302" s="6"/>
      <c r="T302" s="6"/>
      <c r="U302" s="7"/>
      <c r="V302" s="7"/>
    </row>
    <row r="303" spans="3:22" x14ac:dyDescent="0.2">
      <c r="C303" s="6"/>
      <c r="D303" s="6"/>
      <c r="E303" s="7"/>
      <c r="F303" s="7"/>
      <c r="G303" s="7"/>
      <c r="H303" s="7"/>
      <c r="O303" s="6"/>
      <c r="R303" s="7"/>
      <c r="S303" s="6"/>
      <c r="T303" s="6"/>
      <c r="U303" s="7"/>
      <c r="V303" s="7"/>
    </row>
    <row r="304" spans="3:22" x14ac:dyDescent="0.2">
      <c r="C304" s="6"/>
      <c r="D304" s="6"/>
      <c r="E304" s="7"/>
      <c r="F304" s="7"/>
      <c r="G304" s="7"/>
      <c r="H304" s="7"/>
      <c r="O304" s="6"/>
      <c r="R304" s="7"/>
      <c r="S304" s="6"/>
      <c r="T304" s="6"/>
      <c r="U304" s="7"/>
      <c r="V304" s="7"/>
    </row>
    <row r="305" spans="3:22" x14ac:dyDescent="0.2">
      <c r="C305" s="6"/>
      <c r="D305" s="6"/>
      <c r="E305" s="7"/>
      <c r="F305" s="7"/>
      <c r="G305" s="7"/>
      <c r="H305" s="7"/>
      <c r="O305" s="6"/>
      <c r="R305" s="7"/>
      <c r="S305" s="6"/>
      <c r="T305" s="6"/>
      <c r="U305" s="7"/>
      <c r="V305" s="7"/>
    </row>
    <row r="306" spans="3:22" x14ac:dyDescent="0.2">
      <c r="C306" s="6"/>
      <c r="D306" s="6"/>
      <c r="E306" s="7"/>
      <c r="F306" s="7"/>
      <c r="G306" s="7"/>
      <c r="H306" s="7"/>
      <c r="O306" s="6"/>
      <c r="R306" s="7"/>
      <c r="S306" s="6"/>
      <c r="T306" s="6"/>
      <c r="U306" s="7"/>
      <c r="V306" s="7"/>
    </row>
    <row r="307" spans="3:22" x14ac:dyDescent="0.2">
      <c r="C307" s="6"/>
      <c r="D307" s="6"/>
      <c r="E307" s="7"/>
      <c r="F307" s="7"/>
      <c r="G307" s="7"/>
      <c r="H307" s="7"/>
      <c r="O307" s="6"/>
      <c r="R307" s="7"/>
      <c r="S307" s="6"/>
      <c r="T307" s="6"/>
      <c r="U307" s="7"/>
      <c r="V307" s="7"/>
    </row>
    <row r="308" spans="3:22" x14ac:dyDescent="0.2">
      <c r="C308" s="6"/>
      <c r="D308" s="6"/>
      <c r="E308" s="7"/>
      <c r="F308" s="7"/>
      <c r="G308" s="7"/>
      <c r="H308" s="7"/>
      <c r="O308" s="6"/>
      <c r="R308" s="7"/>
      <c r="S308" s="6"/>
      <c r="T308" s="6"/>
      <c r="U308" s="7"/>
      <c r="V308" s="7"/>
    </row>
    <row r="309" spans="3:22" x14ac:dyDescent="0.2">
      <c r="C309" s="6"/>
      <c r="D309" s="6"/>
      <c r="E309" s="7"/>
      <c r="F309" s="7"/>
      <c r="G309" s="7"/>
      <c r="H309" s="7"/>
      <c r="O309" s="6"/>
      <c r="R309" s="7"/>
      <c r="S309" s="6"/>
      <c r="T309" s="6"/>
      <c r="U309" s="7"/>
      <c r="V309" s="7"/>
    </row>
    <row r="310" spans="3:22" x14ac:dyDescent="0.2">
      <c r="C310" s="6"/>
      <c r="D310" s="6"/>
      <c r="E310" s="7"/>
      <c r="F310" s="7"/>
      <c r="G310" s="7"/>
      <c r="H310" s="7"/>
      <c r="O310" s="6"/>
      <c r="R310" s="7"/>
      <c r="S310" s="6"/>
      <c r="T310" s="6"/>
      <c r="U310" s="7"/>
      <c r="V310" s="7"/>
    </row>
    <row r="311" spans="3:22" x14ac:dyDescent="0.2">
      <c r="C311" s="6"/>
      <c r="D311" s="6"/>
      <c r="E311" s="7"/>
      <c r="F311" s="7"/>
      <c r="G311" s="7"/>
      <c r="H311" s="7"/>
      <c r="O311" s="6"/>
      <c r="R311" s="7"/>
      <c r="S311" s="6"/>
      <c r="T311" s="6"/>
      <c r="U311" s="7"/>
      <c r="V311" s="7"/>
    </row>
    <row r="312" spans="3:22" x14ac:dyDescent="0.2">
      <c r="C312" s="6"/>
      <c r="D312" s="6"/>
      <c r="E312" s="7"/>
      <c r="F312" s="7"/>
      <c r="G312" s="7"/>
      <c r="H312" s="7"/>
      <c r="O312" s="6"/>
      <c r="R312" s="7"/>
      <c r="S312" s="6"/>
      <c r="T312" s="6"/>
      <c r="U312" s="7"/>
      <c r="V312" s="7"/>
    </row>
    <row r="313" spans="3:22" x14ac:dyDescent="0.2">
      <c r="C313" s="6"/>
      <c r="D313" s="6"/>
      <c r="E313" s="7"/>
      <c r="F313" s="7"/>
      <c r="G313" s="7"/>
      <c r="H313" s="7"/>
      <c r="O313" s="6"/>
      <c r="R313" s="7"/>
      <c r="S313" s="6"/>
      <c r="T313" s="6"/>
      <c r="U313" s="7"/>
      <c r="V313" s="7"/>
    </row>
    <row r="314" spans="3:22" x14ac:dyDescent="0.2">
      <c r="C314" s="6"/>
      <c r="D314" s="6"/>
      <c r="E314" s="7"/>
      <c r="F314" s="7"/>
      <c r="G314" s="7"/>
      <c r="H314" s="7"/>
      <c r="O314" s="6"/>
      <c r="R314" s="7"/>
      <c r="S314" s="6"/>
      <c r="T314" s="6"/>
      <c r="U314" s="7"/>
      <c r="V314" s="7"/>
    </row>
    <row r="315" spans="3:22" x14ac:dyDescent="0.2">
      <c r="C315" s="6"/>
      <c r="D315" s="6"/>
      <c r="E315" s="7"/>
      <c r="F315" s="7"/>
      <c r="G315" s="7"/>
      <c r="H315" s="7"/>
      <c r="O315" s="6"/>
      <c r="R315" s="7"/>
      <c r="S315" s="6"/>
      <c r="T315" s="6"/>
      <c r="U315" s="7"/>
      <c r="V315" s="7"/>
    </row>
    <row r="316" spans="3:22" x14ac:dyDescent="0.2">
      <c r="C316" s="6"/>
      <c r="D316" s="6"/>
      <c r="E316" s="7"/>
      <c r="F316" s="7"/>
      <c r="G316" s="7"/>
      <c r="H316" s="7"/>
      <c r="O316" s="6"/>
      <c r="R316" s="7"/>
      <c r="S316" s="6"/>
      <c r="T316" s="6"/>
      <c r="U316" s="7"/>
      <c r="V316" s="7"/>
    </row>
    <row r="317" spans="3:22" x14ac:dyDescent="0.2">
      <c r="C317" s="6"/>
      <c r="D317" s="6"/>
      <c r="E317" s="7"/>
      <c r="F317" s="7"/>
      <c r="G317" s="7"/>
      <c r="H317" s="7"/>
      <c r="O317" s="6"/>
      <c r="R317" s="7"/>
      <c r="S317" s="6"/>
      <c r="T317" s="6"/>
      <c r="U317" s="7"/>
      <c r="V317" s="7"/>
    </row>
    <row r="318" spans="3:22" x14ac:dyDescent="0.2">
      <c r="C318" s="6"/>
      <c r="D318" s="6"/>
      <c r="E318" s="7"/>
      <c r="F318" s="7"/>
      <c r="G318" s="7"/>
      <c r="H318" s="7"/>
      <c r="O318" s="6"/>
      <c r="R318" s="7"/>
      <c r="S318" s="6"/>
      <c r="T318" s="6"/>
      <c r="U318" s="7"/>
      <c r="V318" s="7"/>
    </row>
    <row r="319" spans="3:22" x14ac:dyDescent="0.2">
      <c r="C319" s="6"/>
      <c r="D319" s="6"/>
      <c r="E319" s="7"/>
      <c r="F319" s="7"/>
      <c r="G319" s="7"/>
      <c r="H319" s="7"/>
      <c r="O319" s="6"/>
      <c r="R319" s="7"/>
      <c r="S319" s="6"/>
      <c r="T319" s="6"/>
      <c r="U319" s="7"/>
      <c r="V319" s="7"/>
    </row>
    <row r="320" spans="3:22" x14ac:dyDescent="0.2">
      <c r="C320" s="6"/>
      <c r="D320" s="6"/>
      <c r="E320" s="7"/>
      <c r="F320" s="7"/>
      <c r="G320" s="7"/>
      <c r="H320" s="7"/>
      <c r="O320" s="6"/>
      <c r="R320" s="7"/>
      <c r="S320" s="6"/>
      <c r="T320" s="6"/>
      <c r="U320" s="7"/>
      <c r="V320" s="7"/>
    </row>
    <row r="321" spans="3:22" x14ac:dyDescent="0.2">
      <c r="C321" s="6"/>
      <c r="D321" s="6"/>
      <c r="E321" s="7"/>
      <c r="F321" s="7"/>
      <c r="G321" s="7"/>
      <c r="H321" s="7"/>
      <c r="O321" s="6"/>
      <c r="R321" s="7"/>
      <c r="S321" s="6"/>
      <c r="T321" s="6"/>
      <c r="U321" s="7"/>
      <c r="V321" s="7"/>
    </row>
    <row r="322" spans="3:22" x14ac:dyDescent="0.2">
      <c r="C322" s="6"/>
      <c r="D322" s="6"/>
      <c r="E322" s="7"/>
      <c r="F322" s="7"/>
      <c r="G322" s="7"/>
      <c r="H322" s="7"/>
      <c r="O322" s="6"/>
      <c r="R322" s="7"/>
      <c r="S322" s="6"/>
      <c r="T322" s="6"/>
      <c r="U322" s="7"/>
      <c r="V322" s="7"/>
    </row>
    <row r="323" spans="3:22" x14ac:dyDescent="0.2">
      <c r="C323" s="6"/>
      <c r="D323" s="6"/>
      <c r="E323" s="7"/>
      <c r="F323" s="7"/>
      <c r="G323" s="7"/>
      <c r="H323" s="7"/>
      <c r="O323" s="6"/>
      <c r="R323" s="7"/>
      <c r="S323" s="6"/>
      <c r="T323" s="6"/>
      <c r="U323" s="7"/>
      <c r="V323" s="7"/>
    </row>
    <row r="324" spans="3:22" x14ac:dyDescent="0.2">
      <c r="C324" s="6"/>
      <c r="D324" s="6"/>
      <c r="E324" s="7"/>
      <c r="F324" s="7"/>
      <c r="G324" s="7"/>
      <c r="H324" s="7"/>
      <c r="O324" s="6"/>
      <c r="R324" s="7"/>
      <c r="S324" s="6"/>
      <c r="T324" s="6"/>
      <c r="U324" s="7"/>
      <c r="V324" s="7"/>
    </row>
    <row r="325" spans="3:22" x14ac:dyDescent="0.2">
      <c r="C325" s="6"/>
      <c r="D325" s="6"/>
      <c r="E325" s="7"/>
      <c r="F325" s="7"/>
      <c r="G325" s="7"/>
      <c r="H325" s="7"/>
      <c r="O325" s="6"/>
      <c r="R325" s="7"/>
      <c r="S325" s="6"/>
      <c r="T325" s="6"/>
      <c r="U325" s="7"/>
      <c r="V325" s="7"/>
    </row>
    <row r="326" spans="3:22" x14ac:dyDescent="0.2">
      <c r="C326" s="6"/>
      <c r="D326" s="6"/>
      <c r="E326" s="7"/>
      <c r="F326" s="7"/>
      <c r="G326" s="7"/>
      <c r="H326" s="7"/>
      <c r="O326" s="6"/>
      <c r="R326" s="7"/>
      <c r="S326" s="6"/>
      <c r="T326" s="6"/>
      <c r="U326" s="7"/>
      <c r="V326" s="7"/>
    </row>
    <row r="327" spans="3:22" x14ac:dyDescent="0.2">
      <c r="C327" s="6"/>
      <c r="D327" s="6"/>
      <c r="E327" s="7"/>
      <c r="F327" s="7"/>
      <c r="G327" s="7"/>
      <c r="H327" s="7"/>
      <c r="O327" s="6"/>
      <c r="R327" s="7"/>
      <c r="S327" s="6"/>
      <c r="T327" s="6"/>
      <c r="U327" s="7"/>
      <c r="V327" s="7"/>
    </row>
    <row r="328" spans="3:22" x14ac:dyDescent="0.2">
      <c r="C328" s="6"/>
      <c r="D328" s="6"/>
      <c r="E328" s="7"/>
      <c r="F328" s="7"/>
      <c r="G328" s="7"/>
      <c r="H328" s="7"/>
      <c r="O328" s="6"/>
      <c r="R328" s="7"/>
      <c r="S328" s="6"/>
      <c r="T328" s="6"/>
      <c r="U328" s="7"/>
      <c r="V328" s="7"/>
    </row>
    <row r="329" spans="3:22" x14ac:dyDescent="0.2">
      <c r="C329" s="6"/>
      <c r="D329" s="6"/>
      <c r="E329" s="7"/>
      <c r="F329" s="7"/>
      <c r="G329" s="7"/>
      <c r="H329" s="7"/>
      <c r="O329" s="6"/>
      <c r="R329" s="7"/>
      <c r="S329" s="6"/>
      <c r="T329" s="6"/>
      <c r="U329" s="7"/>
      <c r="V329" s="7"/>
    </row>
    <row r="330" spans="3:22" x14ac:dyDescent="0.2">
      <c r="C330" s="6"/>
      <c r="D330" s="6"/>
      <c r="E330" s="7"/>
      <c r="F330" s="7"/>
      <c r="G330" s="7"/>
      <c r="H330" s="7"/>
      <c r="O330" s="6"/>
      <c r="R330" s="7"/>
      <c r="S330" s="6"/>
      <c r="T330" s="6"/>
      <c r="U330" s="7"/>
      <c r="V330" s="7"/>
    </row>
    <row r="331" spans="3:22" x14ac:dyDescent="0.2">
      <c r="C331" s="6"/>
      <c r="D331" s="6"/>
      <c r="E331" s="7"/>
      <c r="F331" s="7"/>
      <c r="G331" s="7"/>
      <c r="H331" s="7"/>
      <c r="O331" s="6"/>
      <c r="R331" s="7"/>
      <c r="S331" s="6"/>
      <c r="T331" s="6"/>
      <c r="U331" s="7"/>
      <c r="V331" s="7"/>
    </row>
    <row r="332" spans="3:22" x14ac:dyDescent="0.2">
      <c r="C332" s="6"/>
      <c r="D332" s="6"/>
      <c r="E332" s="7"/>
      <c r="F332" s="7"/>
      <c r="G332" s="7"/>
      <c r="H332" s="7"/>
      <c r="O332" s="6"/>
      <c r="R332" s="7"/>
      <c r="S332" s="6"/>
      <c r="T332" s="6"/>
      <c r="U332" s="7"/>
      <c r="V332" s="7"/>
    </row>
    <row r="333" spans="3:22" x14ac:dyDescent="0.2">
      <c r="C333" s="6"/>
      <c r="D333" s="6"/>
      <c r="E333" s="7"/>
      <c r="F333" s="7"/>
      <c r="G333" s="7"/>
      <c r="H333" s="7"/>
      <c r="O333" s="6"/>
      <c r="R333" s="7"/>
      <c r="S333" s="6"/>
      <c r="T333" s="6"/>
      <c r="U333" s="7"/>
      <c r="V333" s="7"/>
    </row>
    <row r="334" spans="3:22" x14ac:dyDescent="0.2">
      <c r="C334" s="6"/>
      <c r="D334" s="6"/>
      <c r="E334" s="7"/>
      <c r="F334" s="7"/>
      <c r="G334" s="7"/>
      <c r="H334" s="7"/>
      <c r="O334" s="6"/>
      <c r="R334" s="7"/>
      <c r="S334" s="6"/>
      <c r="T334" s="6"/>
      <c r="U334" s="7"/>
      <c r="V334" s="7"/>
    </row>
    <row r="335" spans="3:22" x14ac:dyDescent="0.2">
      <c r="C335" s="6"/>
      <c r="D335" s="6"/>
      <c r="E335" s="7"/>
      <c r="F335" s="7"/>
      <c r="G335" s="7"/>
      <c r="H335" s="7"/>
      <c r="O335" s="6"/>
      <c r="R335" s="7"/>
      <c r="S335" s="6"/>
      <c r="T335" s="6"/>
      <c r="U335" s="7"/>
      <c r="V335" s="7"/>
    </row>
    <row r="336" spans="3:22" x14ac:dyDescent="0.2">
      <c r="C336" s="6"/>
      <c r="D336" s="6"/>
      <c r="E336" s="7"/>
      <c r="F336" s="7"/>
      <c r="G336" s="7"/>
      <c r="H336" s="7"/>
      <c r="O336" s="6"/>
      <c r="R336" s="7"/>
      <c r="S336" s="6"/>
      <c r="T336" s="6"/>
      <c r="U336" s="7"/>
      <c r="V336" s="7"/>
    </row>
    <row r="337" spans="3:22" x14ac:dyDescent="0.2">
      <c r="C337" s="6"/>
      <c r="D337" s="6"/>
      <c r="E337" s="7"/>
      <c r="F337" s="7"/>
      <c r="G337" s="7"/>
      <c r="H337" s="7"/>
      <c r="O337" s="6"/>
      <c r="R337" s="7"/>
      <c r="S337" s="6"/>
      <c r="T337" s="6"/>
      <c r="U337" s="7"/>
      <c r="V337" s="7"/>
    </row>
    <row r="338" spans="3:22" x14ac:dyDescent="0.2">
      <c r="C338" s="6"/>
      <c r="D338" s="6"/>
      <c r="E338" s="7"/>
      <c r="F338" s="7"/>
      <c r="G338" s="7"/>
      <c r="H338" s="7"/>
      <c r="O338" s="6"/>
      <c r="R338" s="7"/>
      <c r="S338" s="6"/>
      <c r="T338" s="6"/>
      <c r="U338" s="7"/>
      <c r="V338" s="7"/>
    </row>
    <row r="339" spans="3:22" x14ac:dyDescent="0.2">
      <c r="C339" s="6"/>
      <c r="D339" s="6"/>
      <c r="E339" s="7"/>
      <c r="F339" s="7"/>
      <c r="G339" s="7"/>
      <c r="H339" s="7"/>
      <c r="O339" s="6"/>
      <c r="R339" s="7"/>
      <c r="S339" s="6"/>
      <c r="T339" s="6"/>
      <c r="U339" s="7"/>
      <c r="V339" s="7"/>
    </row>
    <row r="340" spans="3:22" x14ac:dyDescent="0.2">
      <c r="C340" s="6"/>
      <c r="D340" s="6"/>
      <c r="E340" s="7"/>
      <c r="F340" s="7"/>
      <c r="G340" s="7"/>
      <c r="H340" s="7"/>
      <c r="O340" s="6"/>
      <c r="R340" s="7"/>
      <c r="S340" s="6"/>
      <c r="T340" s="6"/>
      <c r="U340" s="7"/>
      <c r="V340" s="7"/>
    </row>
    <row r="341" spans="3:22" x14ac:dyDescent="0.2">
      <c r="C341" s="6"/>
      <c r="D341" s="6"/>
      <c r="E341" s="7"/>
      <c r="F341" s="7"/>
      <c r="G341" s="7"/>
      <c r="H341" s="7"/>
      <c r="O341" s="6"/>
      <c r="R341" s="7"/>
      <c r="S341" s="6"/>
      <c r="T341" s="6"/>
      <c r="U341" s="7"/>
      <c r="V341" s="7"/>
    </row>
    <row r="342" spans="3:22" x14ac:dyDescent="0.2">
      <c r="C342" s="6"/>
      <c r="D342" s="6"/>
      <c r="E342" s="7"/>
      <c r="F342" s="7"/>
      <c r="G342" s="7"/>
      <c r="H342" s="7"/>
      <c r="O342" s="6"/>
      <c r="R342" s="7"/>
      <c r="S342" s="6"/>
      <c r="T342" s="6"/>
      <c r="U342" s="7"/>
      <c r="V342" s="7"/>
    </row>
    <row r="343" spans="3:22" x14ac:dyDescent="0.2">
      <c r="C343" s="6"/>
      <c r="D343" s="6"/>
      <c r="E343" s="7"/>
      <c r="F343" s="7"/>
      <c r="G343" s="7"/>
      <c r="H343" s="7"/>
      <c r="O343" s="6"/>
      <c r="R343" s="7"/>
      <c r="S343" s="6"/>
      <c r="T343" s="6"/>
      <c r="U343" s="7"/>
      <c r="V343" s="7"/>
    </row>
    <row r="344" spans="3:22" x14ac:dyDescent="0.2">
      <c r="C344" s="6"/>
      <c r="D344" s="6"/>
      <c r="E344" s="7"/>
      <c r="F344" s="7"/>
      <c r="G344" s="7"/>
      <c r="H344" s="7"/>
      <c r="O344" s="6"/>
      <c r="R344" s="7"/>
      <c r="S344" s="6"/>
      <c r="T344" s="6"/>
      <c r="U344" s="7"/>
      <c r="V344" s="7"/>
    </row>
    <row r="345" spans="3:22" x14ac:dyDescent="0.2">
      <c r="C345" s="6"/>
      <c r="D345" s="6"/>
      <c r="E345" s="7"/>
      <c r="F345" s="7"/>
      <c r="G345" s="7"/>
      <c r="H345" s="7"/>
      <c r="O345" s="6"/>
      <c r="R345" s="7"/>
      <c r="S345" s="6"/>
      <c r="T345" s="6"/>
      <c r="U345" s="7"/>
      <c r="V345" s="7"/>
    </row>
    <row r="346" spans="3:22" x14ac:dyDescent="0.2">
      <c r="C346" s="6"/>
      <c r="D346" s="6"/>
      <c r="E346" s="7"/>
      <c r="F346" s="7"/>
      <c r="G346" s="7"/>
      <c r="H346" s="7"/>
      <c r="O346" s="6"/>
      <c r="R346" s="7"/>
      <c r="S346" s="6"/>
      <c r="T346" s="6"/>
      <c r="U346" s="7"/>
      <c r="V346" s="7"/>
    </row>
    <row r="347" spans="3:22" x14ac:dyDescent="0.2">
      <c r="C347" s="6"/>
      <c r="D347" s="6"/>
      <c r="E347" s="7"/>
      <c r="F347" s="7"/>
      <c r="G347" s="7"/>
      <c r="H347" s="7"/>
      <c r="O347" s="6"/>
      <c r="R347" s="7"/>
      <c r="S347" s="6"/>
      <c r="T347" s="6"/>
      <c r="U347" s="7"/>
      <c r="V347" s="7"/>
    </row>
    <row r="348" spans="3:22" x14ac:dyDescent="0.2">
      <c r="C348" s="6"/>
      <c r="D348" s="6"/>
      <c r="E348" s="7"/>
      <c r="F348" s="7"/>
      <c r="G348" s="7"/>
      <c r="H348" s="7"/>
      <c r="O348" s="6"/>
      <c r="R348" s="7"/>
      <c r="S348" s="6"/>
      <c r="T348" s="6"/>
      <c r="U348" s="7"/>
      <c r="V348" s="7"/>
    </row>
    <row r="349" spans="3:22" x14ac:dyDescent="0.2">
      <c r="C349" s="6"/>
      <c r="D349" s="6"/>
      <c r="E349" s="7"/>
      <c r="F349" s="7"/>
      <c r="G349" s="7"/>
      <c r="H349" s="7"/>
      <c r="O349" s="6"/>
      <c r="R349" s="7"/>
      <c r="S349" s="6"/>
      <c r="T349" s="6"/>
      <c r="U349" s="7"/>
      <c r="V349" s="7"/>
    </row>
    <row r="350" spans="3:22" x14ac:dyDescent="0.2">
      <c r="C350" s="6"/>
      <c r="D350" s="6"/>
      <c r="E350" s="7"/>
      <c r="F350" s="7"/>
      <c r="G350" s="7"/>
      <c r="H350" s="7"/>
      <c r="O350" s="6"/>
      <c r="R350" s="7"/>
      <c r="S350" s="6"/>
      <c r="T350" s="6"/>
      <c r="U350" s="7"/>
      <c r="V350" s="7"/>
    </row>
    <row r="351" spans="3:22" x14ac:dyDescent="0.2">
      <c r="C351" s="6"/>
      <c r="D351" s="6"/>
      <c r="E351" s="7"/>
      <c r="F351" s="7"/>
      <c r="G351" s="7"/>
      <c r="H351" s="7"/>
      <c r="O351" s="6"/>
      <c r="R351" s="7"/>
      <c r="S351" s="6"/>
      <c r="T351" s="6"/>
      <c r="U351" s="7"/>
      <c r="V351" s="7"/>
    </row>
    <row r="352" spans="3:22" x14ac:dyDescent="0.2">
      <c r="C352" s="6"/>
      <c r="D352" s="6"/>
      <c r="E352" s="7"/>
      <c r="F352" s="7"/>
      <c r="G352" s="7"/>
      <c r="H352" s="7"/>
      <c r="O352" s="6"/>
      <c r="R352" s="7"/>
      <c r="S352" s="6"/>
      <c r="T352" s="6"/>
      <c r="U352" s="7"/>
      <c r="V352" s="7"/>
    </row>
    <row r="353" spans="3:22" x14ac:dyDescent="0.2">
      <c r="C353" s="6"/>
      <c r="D353" s="6"/>
      <c r="E353" s="7"/>
      <c r="F353" s="7"/>
      <c r="G353" s="7"/>
      <c r="H353" s="7"/>
      <c r="O353" s="6"/>
      <c r="R353" s="7"/>
      <c r="S353" s="6"/>
      <c r="T353" s="6"/>
      <c r="U353" s="7"/>
      <c r="V353" s="7"/>
    </row>
    <row r="354" spans="3:22" x14ac:dyDescent="0.2">
      <c r="C354" s="6"/>
      <c r="D354" s="6"/>
      <c r="E354" s="7"/>
      <c r="F354" s="7"/>
      <c r="G354" s="7"/>
      <c r="H354" s="7"/>
      <c r="O354" s="6"/>
      <c r="R354" s="7"/>
      <c r="S354" s="6"/>
      <c r="T354" s="6"/>
      <c r="U354" s="7"/>
      <c r="V354" s="7"/>
    </row>
    <row r="355" spans="3:22" x14ac:dyDescent="0.2">
      <c r="C355" s="6"/>
      <c r="D355" s="6"/>
      <c r="E355" s="7"/>
      <c r="F355" s="7"/>
      <c r="G355" s="7"/>
      <c r="H355" s="7"/>
      <c r="O355" s="6"/>
      <c r="R355" s="7"/>
      <c r="S355" s="6"/>
      <c r="T355" s="6"/>
      <c r="U355" s="7"/>
      <c r="V355" s="7"/>
    </row>
    <row r="356" spans="3:22" x14ac:dyDescent="0.2">
      <c r="C356" s="6"/>
      <c r="D356" s="6"/>
      <c r="E356" s="7"/>
      <c r="F356" s="7"/>
      <c r="G356" s="7"/>
      <c r="H356" s="7"/>
      <c r="O356" s="6"/>
      <c r="R356" s="7"/>
      <c r="S356" s="6"/>
      <c r="T356" s="6"/>
      <c r="U356" s="7"/>
      <c r="V356" s="7"/>
    </row>
    <row r="357" spans="3:22" x14ac:dyDescent="0.2">
      <c r="C357" s="6"/>
      <c r="D357" s="6"/>
      <c r="E357" s="7"/>
      <c r="F357" s="7"/>
      <c r="G357" s="7"/>
      <c r="H357" s="7"/>
      <c r="O357" s="6"/>
      <c r="R357" s="7"/>
      <c r="S357" s="6"/>
      <c r="T357" s="6"/>
      <c r="U357" s="7"/>
      <c r="V357" s="7"/>
    </row>
    <row r="358" spans="3:22" x14ac:dyDescent="0.2">
      <c r="C358" s="6"/>
      <c r="D358" s="6"/>
      <c r="E358" s="7"/>
      <c r="F358" s="7"/>
      <c r="G358" s="7"/>
      <c r="H358" s="7"/>
      <c r="O358" s="6"/>
      <c r="R358" s="7"/>
      <c r="S358" s="6"/>
      <c r="T358" s="6"/>
      <c r="U358" s="7"/>
      <c r="V358" s="7"/>
    </row>
    <row r="359" spans="3:22" x14ac:dyDescent="0.2">
      <c r="C359" s="6"/>
      <c r="D359" s="6"/>
      <c r="E359" s="7"/>
      <c r="F359" s="7"/>
      <c r="G359" s="7"/>
      <c r="H359" s="7"/>
      <c r="O359" s="6"/>
      <c r="R359" s="7"/>
      <c r="S359" s="6"/>
      <c r="T359" s="6"/>
      <c r="U359" s="7"/>
      <c r="V359" s="7"/>
    </row>
    <row r="360" spans="3:22" x14ac:dyDescent="0.2">
      <c r="C360" s="6"/>
      <c r="D360" s="6"/>
      <c r="E360" s="7"/>
      <c r="F360" s="7"/>
      <c r="G360" s="7"/>
      <c r="H360" s="7"/>
      <c r="O360" s="6"/>
      <c r="R360" s="7"/>
      <c r="S360" s="6"/>
      <c r="T360" s="6"/>
      <c r="U360" s="7"/>
      <c r="V360" s="7"/>
    </row>
    <row r="361" spans="3:22" x14ac:dyDescent="0.2">
      <c r="C361" s="6"/>
      <c r="D361" s="6"/>
      <c r="E361" s="7"/>
      <c r="F361" s="7"/>
      <c r="G361" s="7"/>
      <c r="H361" s="7"/>
      <c r="O361" s="6"/>
      <c r="R361" s="7"/>
      <c r="S361" s="6"/>
      <c r="T361" s="6"/>
      <c r="U361" s="7"/>
      <c r="V361" s="7"/>
    </row>
    <row r="362" spans="3:22" x14ac:dyDescent="0.2">
      <c r="C362" s="6"/>
      <c r="D362" s="6"/>
      <c r="E362" s="7"/>
      <c r="F362" s="7"/>
      <c r="G362" s="7"/>
      <c r="H362" s="7"/>
      <c r="O362" s="6"/>
      <c r="R362" s="7"/>
      <c r="S362" s="6"/>
      <c r="T362" s="6"/>
      <c r="U362" s="7"/>
      <c r="V362" s="7"/>
    </row>
    <row r="363" spans="3:22" x14ac:dyDescent="0.2">
      <c r="C363" s="6"/>
      <c r="D363" s="6"/>
      <c r="E363" s="7"/>
      <c r="F363" s="7"/>
      <c r="G363" s="7"/>
      <c r="H363" s="7"/>
      <c r="O363" s="6"/>
      <c r="R363" s="7"/>
      <c r="S363" s="6"/>
      <c r="T363" s="6"/>
      <c r="U363" s="7"/>
      <c r="V363" s="7"/>
    </row>
    <row r="364" spans="3:22" x14ac:dyDescent="0.2">
      <c r="C364" s="6"/>
      <c r="D364" s="6"/>
      <c r="E364" s="7"/>
      <c r="F364" s="7"/>
      <c r="G364" s="7"/>
      <c r="H364" s="7"/>
      <c r="O364" s="6"/>
      <c r="R364" s="7"/>
      <c r="S364" s="6"/>
      <c r="T364" s="6"/>
      <c r="U364" s="7"/>
      <c r="V364" s="7"/>
    </row>
    <row r="365" spans="3:22" x14ac:dyDescent="0.2">
      <c r="C365" s="6"/>
      <c r="D365" s="6"/>
      <c r="E365" s="7"/>
      <c r="F365" s="7"/>
      <c r="G365" s="7"/>
      <c r="H365" s="7"/>
      <c r="O365" s="6"/>
      <c r="R365" s="7"/>
      <c r="S365" s="6"/>
      <c r="T365" s="6"/>
      <c r="U365" s="7"/>
      <c r="V365" s="7"/>
    </row>
    <row r="366" spans="3:22" x14ac:dyDescent="0.2">
      <c r="C366" s="6"/>
      <c r="D366" s="6"/>
      <c r="E366" s="7"/>
      <c r="F366" s="7"/>
      <c r="G366" s="7"/>
      <c r="H366" s="7"/>
      <c r="O366" s="6"/>
      <c r="R366" s="7"/>
      <c r="S366" s="6"/>
      <c r="T366" s="6"/>
      <c r="U366" s="7"/>
      <c r="V366" s="7"/>
    </row>
    <row r="367" spans="3:22" x14ac:dyDescent="0.2">
      <c r="C367" s="6"/>
      <c r="D367" s="6"/>
      <c r="E367" s="7"/>
      <c r="F367" s="7"/>
      <c r="G367" s="7"/>
      <c r="H367" s="7"/>
      <c r="O367" s="6"/>
      <c r="R367" s="7"/>
      <c r="S367" s="6"/>
      <c r="T367" s="6"/>
      <c r="U367" s="7"/>
      <c r="V367" s="7"/>
    </row>
    <row r="368" spans="3:22" x14ac:dyDescent="0.2">
      <c r="C368" s="6"/>
      <c r="D368" s="6"/>
      <c r="E368" s="7"/>
      <c r="F368" s="7"/>
      <c r="G368" s="7"/>
      <c r="H368" s="7"/>
      <c r="O368" s="6"/>
      <c r="R368" s="7"/>
      <c r="S368" s="6"/>
      <c r="T368" s="6"/>
      <c r="U368" s="7"/>
      <c r="V368" s="7"/>
    </row>
    <row r="369" spans="3:22" x14ac:dyDescent="0.2">
      <c r="C369" s="6"/>
      <c r="D369" s="6"/>
      <c r="E369" s="7"/>
      <c r="F369" s="7"/>
      <c r="G369" s="7"/>
      <c r="H369" s="7"/>
      <c r="O369" s="6"/>
      <c r="R369" s="7"/>
      <c r="S369" s="6"/>
      <c r="T369" s="6"/>
      <c r="U369" s="7"/>
      <c r="V369" s="7"/>
    </row>
    <row r="370" spans="3:22" x14ac:dyDescent="0.2">
      <c r="C370" s="6"/>
      <c r="D370" s="6"/>
      <c r="E370" s="7"/>
      <c r="F370" s="7"/>
      <c r="G370" s="7"/>
      <c r="H370" s="7"/>
      <c r="O370" s="6"/>
      <c r="R370" s="7"/>
      <c r="S370" s="6"/>
      <c r="T370" s="6"/>
      <c r="U370" s="7"/>
      <c r="V370" s="7"/>
    </row>
    <row r="371" spans="3:22" x14ac:dyDescent="0.2">
      <c r="C371" s="6"/>
      <c r="D371" s="6"/>
      <c r="E371" s="7"/>
      <c r="F371" s="7"/>
      <c r="G371" s="7"/>
      <c r="H371" s="7"/>
      <c r="O371" s="6"/>
      <c r="R371" s="7"/>
      <c r="S371" s="6"/>
      <c r="T371" s="6"/>
      <c r="U371" s="7"/>
      <c r="V371" s="7"/>
    </row>
    <row r="372" spans="3:22" x14ac:dyDescent="0.2">
      <c r="C372" s="6"/>
      <c r="D372" s="6"/>
      <c r="E372" s="7"/>
      <c r="F372" s="7"/>
      <c r="G372" s="7"/>
      <c r="H372" s="7"/>
      <c r="O372" s="6"/>
      <c r="R372" s="7"/>
      <c r="S372" s="6"/>
      <c r="T372" s="6"/>
      <c r="U372" s="7"/>
      <c r="V372" s="7"/>
    </row>
    <row r="373" spans="3:22" x14ac:dyDescent="0.2">
      <c r="C373" s="6"/>
      <c r="D373" s="6"/>
      <c r="E373" s="7"/>
      <c r="F373" s="7"/>
      <c r="G373" s="7"/>
      <c r="H373" s="7"/>
      <c r="O373" s="6"/>
      <c r="R373" s="7"/>
      <c r="S373" s="6"/>
      <c r="T373" s="6"/>
      <c r="U373" s="7"/>
      <c r="V373" s="7"/>
    </row>
    <row r="374" spans="3:22" x14ac:dyDescent="0.2">
      <c r="C374" s="6"/>
      <c r="D374" s="6"/>
      <c r="E374" s="7"/>
      <c r="F374" s="7"/>
      <c r="G374" s="7"/>
      <c r="H374" s="7"/>
      <c r="O374" s="6"/>
      <c r="R374" s="7"/>
      <c r="S374" s="6"/>
      <c r="T374" s="6"/>
      <c r="U374" s="7"/>
      <c r="V374" s="7"/>
    </row>
    <row r="375" spans="3:22" x14ac:dyDescent="0.2">
      <c r="C375" s="6"/>
      <c r="D375" s="6"/>
      <c r="E375" s="7"/>
      <c r="F375" s="7"/>
      <c r="G375" s="7"/>
      <c r="H375" s="7"/>
      <c r="O375" s="6"/>
      <c r="R375" s="7"/>
      <c r="S375" s="6"/>
      <c r="T375" s="6"/>
      <c r="U375" s="7"/>
      <c r="V375" s="7"/>
    </row>
    <row r="376" spans="3:22" x14ac:dyDescent="0.2">
      <c r="C376" s="6"/>
      <c r="D376" s="6"/>
      <c r="E376" s="7"/>
      <c r="F376" s="7"/>
      <c r="G376" s="7"/>
      <c r="H376" s="7"/>
      <c r="O376" s="6"/>
      <c r="R376" s="7"/>
      <c r="S376" s="6"/>
      <c r="T376" s="6"/>
      <c r="U376" s="7"/>
      <c r="V376" s="7"/>
    </row>
    <row r="377" spans="3:22" x14ac:dyDescent="0.2">
      <c r="C377" s="6"/>
      <c r="D377" s="6"/>
      <c r="E377" s="7"/>
      <c r="F377" s="7"/>
      <c r="G377" s="7"/>
      <c r="H377" s="7"/>
      <c r="O377" s="6"/>
      <c r="R377" s="7"/>
      <c r="S377" s="6"/>
      <c r="T377" s="6"/>
      <c r="U377" s="7"/>
      <c r="V377" s="7"/>
    </row>
    <row r="378" spans="3:22" x14ac:dyDescent="0.2">
      <c r="C378" s="6"/>
      <c r="D378" s="6"/>
      <c r="E378" s="7"/>
      <c r="F378" s="7"/>
      <c r="G378" s="7"/>
      <c r="H378" s="7"/>
      <c r="O378" s="6"/>
      <c r="R378" s="7"/>
      <c r="S378" s="6"/>
      <c r="T378" s="6"/>
      <c r="U378" s="7"/>
      <c r="V378" s="7"/>
    </row>
    <row r="379" spans="3:22" x14ac:dyDescent="0.2">
      <c r="C379" s="6"/>
      <c r="D379" s="6"/>
      <c r="E379" s="7"/>
      <c r="F379" s="7"/>
      <c r="G379" s="7"/>
      <c r="H379" s="7"/>
      <c r="O379" s="6"/>
      <c r="R379" s="7"/>
      <c r="S379" s="6"/>
      <c r="T379" s="6"/>
      <c r="U379" s="7"/>
      <c r="V379" s="7"/>
    </row>
    <row r="380" spans="3:22" x14ac:dyDescent="0.2">
      <c r="C380" s="6"/>
      <c r="D380" s="6"/>
      <c r="E380" s="7"/>
      <c r="F380" s="7"/>
      <c r="G380" s="7"/>
      <c r="H380" s="7"/>
      <c r="O380" s="6"/>
      <c r="R380" s="7"/>
      <c r="S380" s="6"/>
      <c r="T380" s="6"/>
      <c r="U380" s="7"/>
      <c r="V380" s="7"/>
    </row>
    <row r="381" spans="3:22" x14ac:dyDescent="0.2">
      <c r="C381" s="6"/>
      <c r="D381" s="6"/>
      <c r="E381" s="7"/>
      <c r="F381" s="7"/>
      <c r="G381" s="7"/>
      <c r="H381" s="7"/>
      <c r="O381" s="6"/>
      <c r="R381" s="7"/>
      <c r="S381" s="6"/>
      <c r="T381" s="6"/>
      <c r="U381" s="7"/>
      <c r="V381" s="7"/>
    </row>
    <row r="382" spans="3:22" x14ac:dyDescent="0.2">
      <c r="C382" s="6"/>
      <c r="D382" s="6"/>
      <c r="E382" s="7"/>
      <c r="F382" s="7"/>
      <c r="G382" s="7"/>
      <c r="H382" s="7"/>
      <c r="O382" s="6"/>
      <c r="R382" s="7"/>
      <c r="S382" s="6"/>
      <c r="T382" s="6"/>
      <c r="U382" s="7"/>
      <c r="V382" s="7"/>
    </row>
    <row r="383" spans="3:22" x14ac:dyDescent="0.2">
      <c r="C383" s="6"/>
      <c r="D383" s="6"/>
      <c r="E383" s="7"/>
      <c r="F383" s="7"/>
      <c r="G383" s="7"/>
      <c r="H383" s="7"/>
      <c r="O383" s="6"/>
      <c r="R383" s="7"/>
      <c r="S383" s="6"/>
      <c r="T383" s="6"/>
      <c r="U383" s="7"/>
      <c r="V383" s="7"/>
    </row>
    <row r="384" spans="3:22" x14ac:dyDescent="0.2">
      <c r="C384" s="6"/>
      <c r="D384" s="6"/>
      <c r="E384" s="7"/>
      <c r="F384" s="7"/>
      <c r="G384" s="7"/>
      <c r="H384" s="7"/>
      <c r="O384" s="6"/>
      <c r="R384" s="7"/>
      <c r="S384" s="6"/>
      <c r="T384" s="6"/>
      <c r="U384" s="7"/>
      <c r="V384" s="7"/>
    </row>
    <row r="385" spans="3:22" x14ac:dyDescent="0.2">
      <c r="C385" s="6"/>
      <c r="D385" s="6"/>
      <c r="E385" s="7"/>
      <c r="F385" s="7"/>
      <c r="G385" s="7"/>
      <c r="H385" s="7"/>
      <c r="O385" s="6"/>
      <c r="R385" s="7"/>
      <c r="S385" s="6"/>
      <c r="T385" s="6"/>
      <c r="U385" s="7"/>
      <c r="V385" s="7"/>
    </row>
    <row r="386" spans="3:22" x14ac:dyDescent="0.2">
      <c r="C386" s="6"/>
      <c r="D386" s="6"/>
      <c r="E386" s="7"/>
      <c r="F386" s="7"/>
      <c r="G386" s="7"/>
      <c r="H386" s="7"/>
      <c r="O386" s="6"/>
      <c r="R386" s="7"/>
      <c r="S386" s="6"/>
      <c r="T386" s="6"/>
      <c r="U386" s="7"/>
      <c r="V386" s="7"/>
    </row>
    <row r="387" spans="3:22" x14ac:dyDescent="0.2">
      <c r="C387" s="6"/>
      <c r="D387" s="6"/>
      <c r="E387" s="7"/>
      <c r="F387" s="7"/>
      <c r="G387" s="7"/>
      <c r="H387" s="7"/>
      <c r="O387" s="6"/>
      <c r="R387" s="7"/>
      <c r="S387" s="6"/>
      <c r="T387" s="6"/>
      <c r="U387" s="7"/>
      <c r="V387" s="7"/>
    </row>
    <row r="388" spans="3:22" x14ac:dyDescent="0.2">
      <c r="C388" s="6"/>
      <c r="D388" s="6"/>
      <c r="E388" s="7"/>
      <c r="F388" s="7"/>
      <c r="G388" s="7"/>
      <c r="H388" s="7"/>
      <c r="O388" s="6"/>
      <c r="R388" s="7"/>
      <c r="S388" s="6"/>
      <c r="T388" s="6"/>
      <c r="U388" s="7"/>
      <c r="V388" s="7"/>
    </row>
    <row r="389" spans="3:22" x14ac:dyDescent="0.2">
      <c r="C389" s="6"/>
      <c r="D389" s="6"/>
      <c r="E389" s="7"/>
      <c r="F389" s="7"/>
      <c r="G389" s="7"/>
      <c r="H389" s="7"/>
      <c r="O389" s="6"/>
      <c r="R389" s="7"/>
      <c r="S389" s="6"/>
      <c r="T389" s="6"/>
      <c r="U389" s="7"/>
      <c r="V389" s="7"/>
    </row>
    <row r="390" spans="3:22" x14ac:dyDescent="0.2">
      <c r="C390" s="6"/>
      <c r="D390" s="6"/>
      <c r="E390" s="7"/>
      <c r="F390" s="7"/>
      <c r="G390" s="7"/>
      <c r="H390" s="7"/>
      <c r="O390" s="6"/>
      <c r="R390" s="7"/>
      <c r="S390" s="6"/>
      <c r="T390" s="6"/>
      <c r="U390" s="7"/>
      <c r="V390" s="7"/>
    </row>
    <row r="391" spans="3:22" x14ac:dyDescent="0.2">
      <c r="C391" s="6"/>
      <c r="D391" s="6"/>
      <c r="E391" s="7"/>
      <c r="F391" s="7"/>
      <c r="G391" s="7"/>
      <c r="H391" s="7"/>
      <c r="O391" s="6"/>
      <c r="R391" s="7"/>
      <c r="S391" s="6"/>
      <c r="T391" s="6"/>
      <c r="U391" s="7"/>
      <c r="V391" s="7"/>
    </row>
    <row r="392" spans="3:22" x14ac:dyDescent="0.2">
      <c r="C392" s="6"/>
      <c r="D392" s="6"/>
      <c r="E392" s="7"/>
      <c r="F392" s="7"/>
      <c r="G392" s="7"/>
      <c r="H392" s="7"/>
      <c r="O392" s="6"/>
      <c r="R392" s="7"/>
      <c r="S392" s="6"/>
      <c r="T392" s="6"/>
      <c r="U392" s="7"/>
      <c r="V392" s="7"/>
    </row>
    <row r="393" spans="3:22" x14ac:dyDescent="0.2">
      <c r="C393" s="6"/>
      <c r="D393" s="6"/>
      <c r="E393" s="7"/>
      <c r="F393" s="7"/>
      <c r="G393" s="7"/>
      <c r="H393" s="7"/>
      <c r="O393" s="6"/>
      <c r="R393" s="7"/>
      <c r="S393" s="6"/>
      <c r="T393" s="6"/>
      <c r="U393" s="7"/>
      <c r="V393" s="7"/>
    </row>
    <row r="394" spans="3:22" x14ac:dyDescent="0.2">
      <c r="C394" s="6"/>
      <c r="D394" s="6"/>
      <c r="E394" s="7"/>
      <c r="F394" s="7"/>
      <c r="G394" s="7"/>
      <c r="H394" s="7"/>
      <c r="O394" s="6"/>
      <c r="R394" s="7"/>
      <c r="S394" s="6"/>
      <c r="T394" s="6"/>
      <c r="U394" s="7"/>
      <c r="V394" s="7"/>
    </row>
    <row r="395" spans="3:22" x14ac:dyDescent="0.2">
      <c r="C395" s="6"/>
      <c r="D395" s="6"/>
      <c r="E395" s="7"/>
      <c r="F395" s="7"/>
      <c r="G395" s="7"/>
      <c r="H395" s="7"/>
      <c r="O395" s="6"/>
      <c r="R395" s="7"/>
      <c r="S395" s="6"/>
      <c r="T395" s="6"/>
      <c r="U395" s="7"/>
      <c r="V395" s="7"/>
    </row>
    <row r="396" spans="3:22" x14ac:dyDescent="0.2">
      <c r="C396" s="6"/>
      <c r="D396" s="6"/>
      <c r="E396" s="7"/>
      <c r="F396" s="7"/>
      <c r="G396" s="7"/>
      <c r="H396" s="7"/>
      <c r="O396" s="6"/>
      <c r="R396" s="7"/>
      <c r="S396" s="6"/>
      <c r="T396" s="6"/>
      <c r="U396" s="7"/>
      <c r="V396" s="7"/>
    </row>
    <row r="397" spans="3:22" x14ac:dyDescent="0.2">
      <c r="C397" s="6"/>
      <c r="D397" s="6"/>
      <c r="E397" s="7"/>
      <c r="F397" s="7"/>
      <c r="G397" s="7"/>
      <c r="H397" s="7"/>
      <c r="O397" s="6"/>
      <c r="R397" s="7"/>
      <c r="S397" s="6"/>
      <c r="T397" s="6"/>
      <c r="U397" s="7"/>
      <c r="V397" s="7"/>
    </row>
    <row r="398" spans="3:22" x14ac:dyDescent="0.2">
      <c r="C398" s="6"/>
      <c r="D398" s="6"/>
      <c r="E398" s="7"/>
      <c r="F398" s="7"/>
      <c r="G398" s="7"/>
      <c r="H398" s="7"/>
      <c r="O398" s="6"/>
      <c r="R398" s="7"/>
      <c r="S398" s="6"/>
      <c r="T398" s="6"/>
      <c r="U398" s="7"/>
      <c r="V398" s="7"/>
    </row>
    <row r="399" spans="3:22" x14ac:dyDescent="0.2">
      <c r="C399" s="6"/>
      <c r="D399" s="6"/>
      <c r="E399" s="7"/>
      <c r="F399" s="7"/>
      <c r="G399" s="7"/>
      <c r="H399" s="7"/>
      <c r="O399" s="6"/>
      <c r="R399" s="7"/>
      <c r="S399" s="6"/>
      <c r="T399" s="6"/>
      <c r="U399" s="7"/>
      <c r="V399" s="7"/>
    </row>
    <row r="400" spans="3:22" x14ac:dyDescent="0.2">
      <c r="C400" s="6"/>
      <c r="D400" s="6"/>
      <c r="E400" s="7"/>
      <c r="F400" s="7"/>
      <c r="G400" s="7"/>
      <c r="H400" s="7"/>
      <c r="O400" s="6"/>
      <c r="R400" s="7"/>
      <c r="S400" s="6"/>
      <c r="T400" s="6"/>
      <c r="U400" s="7"/>
      <c r="V400" s="7"/>
    </row>
    <row r="401" spans="3:22" x14ac:dyDescent="0.2">
      <c r="C401" s="6"/>
      <c r="D401" s="6"/>
      <c r="E401" s="7"/>
      <c r="F401" s="7"/>
      <c r="G401" s="7"/>
      <c r="H401" s="7"/>
      <c r="O401" s="6"/>
      <c r="R401" s="7"/>
      <c r="S401" s="6"/>
      <c r="T401" s="6"/>
      <c r="U401" s="7"/>
      <c r="V401" s="7"/>
    </row>
    <row r="402" spans="3:22" x14ac:dyDescent="0.2">
      <c r="C402" s="6"/>
      <c r="D402" s="6"/>
      <c r="E402" s="7"/>
      <c r="F402" s="7"/>
      <c r="G402" s="7"/>
      <c r="H402" s="7"/>
      <c r="O402" s="6"/>
      <c r="R402" s="7"/>
      <c r="S402" s="6"/>
      <c r="T402" s="6"/>
      <c r="U402" s="7"/>
      <c r="V402" s="7"/>
    </row>
    <row r="403" spans="3:22" x14ac:dyDescent="0.2">
      <c r="C403" s="6"/>
      <c r="D403" s="6"/>
      <c r="E403" s="7"/>
      <c r="F403" s="7"/>
      <c r="G403" s="7"/>
      <c r="H403" s="7"/>
      <c r="O403" s="6"/>
      <c r="R403" s="7"/>
      <c r="S403" s="6"/>
      <c r="T403" s="6"/>
      <c r="U403" s="7"/>
      <c r="V403" s="7"/>
    </row>
    <row r="404" spans="3:22" x14ac:dyDescent="0.2">
      <c r="C404" s="6"/>
      <c r="D404" s="6"/>
      <c r="E404" s="7"/>
      <c r="F404" s="7"/>
      <c r="G404" s="7"/>
      <c r="H404" s="7"/>
      <c r="O404" s="6"/>
      <c r="R404" s="7"/>
      <c r="S404" s="6"/>
      <c r="T404" s="6"/>
      <c r="U404" s="7"/>
      <c r="V404" s="7"/>
    </row>
    <row r="405" spans="3:22" x14ac:dyDescent="0.2">
      <c r="C405" s="6"/>
      <c r="D405" s="6"/>
      <c r="E405" s="7"/>
      <c r="F405" s="7"/>
      <c r="G405" s="7"/>
      <c r="H405" s="7"/>
      <c r="O405" s="6"/>
      <c r="R405" s="7"/>
      <c r="S405" s="6"/>
      <c r="T405" s="6"/>
      <c r="U405" s="7"/>
      <c r="V405" s="7"/>
    </row>
    <row r="406" spans="3:22" x14ac:dyDescent="0.2">
      <c r="C406" s="6"/>
      <c r="D406" s="6"/>
      <c r="E406" s="7"/>
      <c r="F406" s="7"/>
      <c r="G406" s="7"/>
      <c r="H406" s="7"/>
      <c r="O406" s="6"/>
      <c r="R406" s="7"/>
      <c r="S406" s="6"/>
      <c r="T406" s="6"/>
      <c r="U406" s="7"/>
      <c r="V406" s="7"/>
    </row>
    <row r="407" spans="3:22" x14ac:dyDescent="0.2">
      <c r="C407" s="6"/>
      <c r="D407" s="6"/>
      <c r="E407" s="7"/>
      <c r="F407" s="7"/>
      <c r="G407" s="7"/>
      <c r="H407" s="7"/>
      <c r="O407" s="6"/>
      <c r="R407" s="7"/>
      <c r="S407" s="6"/>
      <c r="T407" s="6"/>
      <c r="U407" s="7"/>
      <c r="V407" s="7"/>
    </row>
    <row r="408" spans="3:22" x14ac:dyDescent="0.2">
      <c r="C408" s="6"/>
      <c r="D408" s="6"/>
      <c r="E408" s="7"/>
      <c r="F408" s="7"/>
      <c r="G408" s="7"/>
      <c r="H408" s="7"/>
      <c r="O408" s="6"/>
      <c r="R408" s="7"/>
      <c r="S408" s="6"/>
      <c r="T408" s="6"/>
      <c r="U408" s="7"/>
      <c r="V408" s="7"/>
    </row>
    <row r="409" spans="3:22" x14ac:dyDescent="0.2">
      <c r="C409" s="6"/>
      <c r="D409" s="6"/>
      <c r="E409" s="7"/>
      <c r="F409" s="7"/>
      <c r="G409" s="7"/>
      <c r="H409" s="7"/>
      <c r="O409" s="6"/>
      <c r="R409" s="7"/>
      <c r="S409" s="6"/>
      <c r="T409" s="6"/>
      <c r="U409" s="7"/>
      <c r="V409" s="7"/>
    </row>
    <row r="410" spans="3:22" x14ac:dyDescent="0.2">
      <c r="C410" s="6"/>
      <c r="D410" s="6"/>
      <c r="E410" s="7"/>
      <c r="F410" s="7"/>
      <c r="G410" s="7"/>
      <c r="H410" s="7"/>
      <c r="O410" s="6"/>
      <c r="R410" s="7"/>
      <c r="S410" s="6"/>
      <c r="T410" s="6"/>
      <c r="U410" s="7"/>
      <c r="V410" s="7"/>
    </row>
    <row r="411" spans="3:22" x14ac:dyDescent="0.2">
      <c r="C411" s="6"/>
      <c r="D411" s="6"/>
      <c r="E411" s="7"/>
      <c r="F411" s="7"/>
      <c r="G411" s="7"/>
      <c r="H411" s="7"/>
      <c r="O411" s="6"/>
      <c r="R411" s="7"/>
      <c r="S411" s="6"/>
      <c r="T411" s="6"/>
      <c r="U411" s="7"/>
      <c r="V411" s="7"/>
    </row>
    <row r="412" spans="3:22" x14ac:dyDescent="0.2">
      <c r="C412" s="6"/>
      <c r="D412" s="6"/>
      <c r="E412" s="7"/>
      <c r="F412" s="7"/>
      <c r="G412" s="7"/>
      <c r="H412" s="7"/>
      <c r="O412" s="6"/>
      <c r="R412" s="7"/>
      <c r="S412" s="6"/>
      <c r="T412" s="6"/>
      <c r="U412" s="7"/>
      <c r="V412" s="7"/>
    </row>
    <row r="413" spans="3:22" x14ac:dyDescent="0.2">
      <c r="C413" s="6"/>
      <c r="D413" s="6"/>
      <c r="E413" s="7"/>
      <c r="F413" s="7"/>
      <c r="G413" s="7"/>
      <c r="H413" s="7"/>
      <c r="O413" s="6"/>
      <c r="R413" s="7"/>
      <c r="S413" s="6"/>
      <c r="T413" s="6"/>
      <c r="U413" s="7"/>
      <c r="V413" s="7"/>
    </row>
    <row r="414" spans="3:22" x14ac:dyDescent="0.2">
      <c r="C414" s="6"/>
      <c r="D414" s="6"/>
      <c r="E414" s="7"/>
      <c r="F414" s="7"/>
      <c r="G414" s="7"/>
      <c r="H414" s="7"/>
      <c r="O414" s="6"/>
      <c r="R414" s="7"/>
      <c r="S414" s="6"/>
      <c r="T414" s="6"/>
      <c r="U414" s="7"/>
      <c r="V414" s="7"/>
    </row>
    <row r="415" spans="3:22" x14ac:dyDescent="0.2">
      <c r="C415" s="6"/>
      <c r="D415" s="6"/>
      <c r="E415" s="7"/>
      <c r="F415" s="7"/>
      <c r="G415" s="7"/>
      <c r="H415" s="7"/>
      <c r="O415" s="6"/>
      <c r="R415" s="7"/>
      <c r="S415" s="6"/>
      <c r="T415" s="6"/>
      <c r="U415" s="7"/>
      <c r="V415" s="7"/>
    </row>
    <row r="416" spans="3:22" x14ac:dyDescent="0.2">
      <c r="C416" s="6"/>
      <c r="D416" s="6"/>
      <c r="E416" s="7"/>
      <c r="F416" s="7"/>
      <c r="G416" s="7"/>
      <c r="H416" s="7"/>
      <c r="O416" s="6"/>
      <c r="R416" s="7"/>
      <c r="S416" s="6"/>
      <c r="T416" s="6"/>
      <c r="U416" s="7"/>
      <c r="V416" s="7"/>
    </row>
    <row r="417" spans="3:22" x14ac:dyDescent="0.2">
      <c r="C417" s="6"/>
      <c r="D417" s="6"/>
      <c r="E417" s="7"/>
      <c r="F417" s="7"/>
      <c r="G417" s="7"/>
      <c r="H417" s="7"/>
      <c r="O417" s="6"/>
      <c r="R417" s="7"/>
      <c r="S417" s="6"/>
      <c r="T417" s="6"/>
      <c r="U417" s="7"/>
      <c r="V417" s="7"/>
    </row>
    <row r="418" spans="3:22" x14ac:dyDescent="0.2">
      <c r="C418" s="6"/>
      <c r="D418" s="6"/>
      <c r="E418" s="7"/>
      <c r="F418" s="7"/>
      <c r="G418" s="7"/>
      <c r="H418" s="7"/>
      <c r="O418" s="6"/>
      <c r="R418" s="7"/>
      <c r="S418" s="6"/>
      <c r="T418" s="6"/>
      <c r="U418" s="7"/>
      <c r="V418" s="7"/>
    </row>
    <row r="419" spans="3:22" x14ac:dyDescent="0.2">
      <c r="C419" s="6"/>
      <c r="D419" s="6"/>
      <c r="E419" s="7"/>
      <c r="F419" s="7"/>
      <c r="G419" s="7"/>
      <c r="H419" s="7"/>
      <c r="O419" s="6"/>
      <c r="R419" s="7"/>
      <c r="S419" s="6"/>
      <c r="T419" s="6"/>
      <c r="U419" s="7"/>
      <c r="V419" s="7"/>
    </row>
    <row r="420" spans="3:22" x14ac:dyDescent="0.2">
      <c r="C420" s="6"/>
      <c r="D420" s="6"/>
      <c r="E420" s="7"/>
      <c r="F420" s="7"/>
      <c r="G420" s="7"/>
      <c r="H420" s="7"/>
      <c r="O420" s="6"/>
      <c r="R420" s="7"/>
      <c r="S420" s="6"/>
      <c r="T420" s="6"/>
      <c r="U420" s="7"/>
      <c r="V420" s="7"/>
    </row>
    <row r="421" spans="3:22" x14ac:dyDescent="0.2">
      <c r="C421" s="6"/>
      <c r="D421" s="6"/>
      <c r="E421" s="7"/>
      <c r="F421" s="7"/>
      <c r="G421" s="7"/>
      <c r="H421" s="7"/>
      <c r="O421" s="6"/>
      <c r="R421" s="7"/>
      <c r="S421" s="6"/>
      <c r="T421" s="6"/>
      <c r="U421" s="7"/>
      <c r="V421" s="7"/>
    </row>
    <row r="422" spans="3:22" x14ac:dyDescent="0.2">
      <c r="C422" s="6"/>
      <c r="D422" s="6"/>
      <c r="E422" s="7"/>
      <c r="F422" s="7"/>
      <c r="G422" s="7"/>
      <c r="H422" s="7"/>
      <c r="O422" s="6"/>
      <c r="R422" s="7"/>
      <c r="S422" s="6"/>
      <c r="T422" s="6"/>
      <c r="U422" s="7"/>
      <c r="V422" s="7"/>
    </row>
    <row r="423" spans="3:22" x14ac:dyDescent="0.2">
      <c r="C423" s="6"/>
      <c r="D423" s="6"/>
      <c r="E423" s="7"/>
      <c r="F423" s="7"/>
      <c r="G423" s="7"/>
      <c r="H423" s="7"/>
      <c r="O423" s="6"/>
      <c r="R423" s="7"/>
      <c r="S423" s="6"/>
      <c r="T423" s="6"/>
      <c r="U423" s="7"/>
      <c r="V423" s="7"/>
    </row>
    <row r="424" spans="3:22" x14ac:dyDescent="0.2">
      <c r="C424" s="6"/>
      <c r="D424" s="6"/>
      <c r="E424" s="7"/>
      <c r="F424" s="7"/>
      <c r="G424" s="7"/>
      <c r="H424" s="7"/>
      <c r="O424" s="6"/>
      <c r="R424" s="7"/>
      <c r="S424" s="6"/>
      <c r="T424" s="6"/>
      <c r="U424" s="7"/>
      <c r="V424" s="7"/>
    </row>
    <row r="425" spans="3:22" x14ac:dyDescent="0.2">
      <c r="C425" s="6"/>
      <c r="D425" s="6"/>
      <c r="E425" s="7"/>
      <c r="F425" s="7"/>
      <c r="G425" s="7"/>
      <c r="H425" s="7"/>
      <c r="O425" s="6"/>
      <c r="R425" s="7"/>
      <c r="S425" s="6"/>
      <c r="T425" s="6"/>
      <c r="U425" s="7"/>
      <c r="V425" s="7"/>
    </row>
    <row r="426" spans="3:22" x14ac:dyDescent="0.2">
      <c r="C426" s="6"/>
      <c r="D426" s="6"/>
      <c r="E426" s="7"/>
      <c r="F426" s="7"/>
      <c r="G426" s="7"/>
      <c r="H426" s="7"/>
      <c r="O426" s="6"/>
      <c r="R426" s="7"/>
      <c r="S426" s="6"/>
      <c r="T426" s="6"/>
      <c r="U426" s="7"/>
      <c r="V426" s="7"/>
    </row>
    <row r="427" spans="3:22" x14ac:dyDescent="0.2">
      <c r="C427" s="6"/>
      <c r="D427" s="6"/>
      <c r="E427" s="7"/>
      <c r="F427" s="7"/>
      <c r="G427" s="7"/>
      <c r="H427" s="7"/>
      <c r="O427" s="6"/>
      <c r="R427" s="7"/>
      <c r="S427" s="6"/>
      <c r="T427" s="6"/>
      <c r="U427" s="7"/>
      <c r="V427" s="7"/>
    </row>
    <row r="428" spans="3:22" x14ac:dyDescent="0.2">
      <c r="C428" s="6"/>
      <c r="D428" s="6"/>
      <c r="E428" s="7"/>
      <c r="F428" s="7"/>
      <c r="G428" s="7"/>
      <c r="H428" s="7"/>
      <c r="O428" s="6"/>
      <c r="R428" s="7"/>
      <c r="S428" s="6"/>
      <c r="T428" s="6"/>
      <c r="U428" s="7"/>
      <c r="V428" s="7"/>
    </row>
    <row r="429" spans="3:22" x14ac:dyDescent="0.2">
      <c r="C429" s="6"/>
      <c r="D429" s="6"/>
      <c r="E429" s="7"/>
      <c r="F429" s="7"/>
      <c r="G429" s="7"/>
      <c r="H429" s="7"/>
      <c r="O429" s="6"/>
      <c r="R429" s="7"/>
      <c r="S429" s="6"/>
      <c r="T429" s="6"/>
      <c r="U429" s="7"/>
      <c r="V429" s="7"/>
    </row>
    <row r="430" spans="3:22" x14ac:dyDescent="0.2">
      <c r="C430" s="6"/>
      <c r="D430" s="6"/>
      <c r="E430" s="7"/>
      <c r="F430" s="7"/>
      <c r="G430" s="7"/>
      <c r="H430" s="7"/>
      <c r="O430" s="6"/>
      <c r="R430" s="7"/>
      <c r="S430" s="6"/>
      <c r="T430" s="6"/>
      <c r="U430" s="7"/>
      <c r="V430" s="7"/>
    </row>
    <row r="431" spans="3:22" x14ac:dyDescent="0.2">
      <c r="C431" s="6"/>
      <c r="D431" s="6"/>
      <c r="E431" s="7"/>
      <c r="F431" s="7"/>
      <c r="G431" s="7"/>
      <c r="H431" s="7"/>
      <c r="O431" s="6"/>
      <c r="R431" s="7"/>
      <c r="S431" s="6"/>
      <c r="T431" s="6"/>
      <c r="U431" s="7"/>
      <c r="V431" s="7"/>
    </row>
    <row r="432" spans="3:22" x14ac:dyDescent="0.2">
      <c r="C432" s="6"/>
      <c r="D432" s="6"/>
      <c r="E432" s="7"/>
      <c r="F432" s="7"/>
      <c r="G432" s="7"/>
      <c r="H432" s="7"/>
      <c r="O432" s="6"/>
      <c r="R432" s="7"/>
      <c r="S432" s="6"/>
      <c r="T432" s="6"/>
      <c r="U432" s="7"/>
      <c r="V432" s="7"/>
    </row>
    <row r="433" spans="3:22" x14ac:dyDescent="0.2">
      <c r="C433" s="6"/>
      <c r="D433" s="6"/>
      <c r="E433" s="7"/>
      <c r="F433" s="7"/>
      <c r="G433" s="7"/>
      <c r="H433" s="7"/>
      <c r="O433" s="6"/>
      <c r="R433" s="7"/>
      <c r="S433" s="6"/>
      <c r="T433" s="6"/>
      <c r="U433" s="7"/>
      <c r="V433" s="7"/>
    </row>
    <row r="434" spans="3:22" x14ac:dyDescent="0.2">
      <c r="C434" s="6"/>
      <c r="D434" s="6"/>
      <c r="E434" s="7"/>
      <c r="F434" s="7"/>
      <c r="G434" s="7"/>
      <c r="H434" s="7"/>
      <c r="O434" s="6"/>
      <c r="R434" s="7"/>
      <c r="S434" s="6"/>
      <c r="T434" s="6"/>
      <c r="U434" s="7"/>
      <c r="V434" s="7"/>
    </row>
    <row r="435" spans="3:22" x14ac:dyDescent="0.2">
      <c r="C435" s="6"/>
      <c r="D435" s="6"/>
      <c r="E435" s="7"/>
      <c r="F435" s="7"/>
      <c r="G435" s="7"/>
      <c r="H435" s="7"/>
      <c r="O435" s="6"/>
      <c r="R435" s="7"/>
      <c r="S435" s="6"/>
      <c r="T435" s="6"/>
      <c r="U435" s="7"/>
      <c r="V435" s="7"/>
    </row>
    <row r="436" spans="3:22" x14ac:dyDescent="0.2">
      <c r="C436" s="6"/>
      <c r="D436" s="6"/>
      <c r="E436" s="7"/>
      <c r="F436" s="7"/>
      <c r="G436" s="7"/>
      <c r="H436" s="7"/>
      <c r="O436" s="6"/>
      <c r="R436" s="7"/>
      <c r="S436" s="6"/>
      <c r="T436" s="6"/>
      <c r="U436" s="7"/>
      <c r="V436" s="7"/>
    </row>
    <row r="437" spans="3:22" x14ac:dyDescent="0.2">
      <c r="C437" s="6"/>
      <c r="D437" s="6"/>
      <c r="E437" s="7"/>
      <c r="F437" s="7"/>
      <c r="G437" s="7"/>
      <c r="H437" s="7"/>
      <c r="O437" s="6"/>
      <c r="R437" s="7"/>
      <c r="S437" s="6"/>
      <c r="T437" s="6"/>
      <c r="U437" s="7"/>
      <c r="V437" s="7"/>
    </row>
    <row r="438" spans="3:22" x14ac:dyDescent="0.2">
      <c r="C438" s="6"/>
      <c r="D438" s="6"/>
      <c r="E438" s="7"/>
      <c r="F438" s="7"/>
      <c r="G438" s="7"/>
      <c r="H438" s="7"/>
      <c r="O438" s="6"/>
      <c r="R438" s="7"/>
      <c r="S438" s="6"/>
      <c r="T438" s="6"/>
      <c r="U438" s="7"/>
      <c r="V438" s="7"/>
    </row>
    <row r="439" spans="3:22" x14ac:dyDescent="0.2">
      <c r="C439" s="6"/>
      <c r="D439" s="6"/>
      <c r="E439" s="7"/>
      <c r="F439" s="7"/>
      <c r="G439" s="7"/>
      <c r="H439" s="7"/>
      <c r="O439" s="6"/>
      <c r="R439" s="7"/>
      <c r="S439" s="6"/>
      <c r="T439" s="6"/>
      <c r="U439" s="7"/>
      <c r="V439" s="7"/>
    </row>
    <row r="440" spans="3:22" x14ac:dyDescent="0.2">
      <c r="C440" s="6"/>
      <c r="D440" s="6"/>
      <c r="E440" s="7"/>
      <c r="F440" s="7"/>
      <c r="G440" s="7"/>
      <c r="H440" s="7"/>
      <c r="O440" s="6"/>
      <c r="R440" s="7"/>
      <c r="S440" s="6"/>
      <c r="T440" s="6"/>
      <c r="U440" s="7"/>
      <c r="V440" s="7"/>
    </row>
    <row r="441" spans="3:22" x14ac:dyDescent="0.2">
      <c r="C441" s="6"/>
      <c r="D441" s="6"/>
      <c r="E441" s="7"/>
      <c r="F441" s="7"/>
      <c r="G441" s="7"/>
      <c r="H441" s="7"/>
      <c r="O441" s="6"/>
      <c r="R441" s="7"/>
      <c r="S441" s="6"/>
      <c r="T441" s="6"/>
      <c r="U441" s="7"/>
      <c r="V441" s="7"/>
    </row>
    <row r="442" spans="3:22" x14ac:dyDescent="0.2">
      <c r="C442" s="6"/>
      <c r="D442" s="6"/>
      <c r="E442" s="7"/>
      <c r="F442" s="7"/>
      <c r="G442" s="7"/>
      <c r="H442" s="7"/>
      <c r="O442" s="6"/>
      <c r="R442" s="7"/>
      <c r="S442" s="6"/>
      <c r="T442" s="6"/>
      <c r="U442" s="7"/>
      <c r="V442" s="7"/>
    </row>
    <row r="443" spans="3:22" x14ac:dyDescent="0.2">
      <c r="C443" s="6"/>
      <c r="D443" s="6"/>
      <c r="E443" s="7"/>
      <c r="F443" s="7"/>
      <c r="G443" s="7"/>
      <c r="H443" s="7"/>
      <c r="O443" s="6"/>
      <c r="R443" s="7"/>
      <c r="S443" s="6"/>
      <c r="T443" s="6"/>
      <c r="U443" s="7"/>
      <c r="V443" s="7"/>
    </row>
    <row r="444" spans="3:22" x14ac:dyDescent="0.2">
      <c r="C444" s="6"/>
      <c r="D444" s="6"/>
      <c r="E444" s="7"/>
      <c r="F444" s="7"/>
      <c r="G444" s="7"/>
      <c r="H444" s="7"/>
      <c r="O444" s="6"/>
      <c r="R444" s="7"/>
      <c r="S444" s="6"/>
      <c r="T444" s="6"/>
      <c r="U444" s="7"/>
      <c r="V444" s="7"/>
    </row>
    <row r="445" spans="3:22" x14ac:dyDescent="0.2">
      <c r="C445" s="6"/>
      <c r="D445" s="6"/>
      <c r="E445" s="7"/>
      <c r="F445" s="7"/>
      <c r="G445" s="7"/>
      <c r="H445" s="7"/>
      <c r="O445" s="6"/>
      <c r="R445" s="7"/>
      <c r="S445" s="6"/>
      <c r="T445" s="6"/>
      <c r="U445" s="7"/>
      <c r="V445" s="7"/>
    </row>
    <row r="446" spans="3:22" x14ac:dyDescent="0.2">
      <c r="C446" s="6"/>
      <c r="D446" s="6"/>
      <c r="E446" s="7"/>
      <c r="F446" s="7"/>
      <c r="G446" s="7"/>
      <c r="H446" s="7"/>
      <c r="O446" s="6"/>
      <c r="R446" s="7"/>
      <c r="S446" s="6"/>
      <c r="T446" s="6"/>
      <c r="U446" s="7"/>
      <c r="V446" s="7"/>
    </row>
    <row r="447" spans="3:22" x14ac:dyDescent="0.2">
      <c r="C447" s="6"/>
      <c r="D447" s="6"/>
      <c r="E447" s="7"/>
      <c r="F447" s="7"/>
      <c r="G447" s="7"/>
      <c r="H447" s="7"/>
      <c r="O447" s="6"/>
      <c r="R447" s="7"/>
      <c r="S447" s="6"/>
      <c r="T447" s="6"/>
      <c r="U447" s="7"/>
      <c r="V447" s="7"/>
    </row>
    <row r="448" spans="3:22" x14ac:dyDescent="0.2">
      <c r="C448" s="6"/>
      <c r="D448" s="6"/>
      <c r="E448" s="7"/>
      <c r="F448" s="7"/>
      <c r="G448" s="7"/>
      <c r="H448" s="7"/>
      <c r="O448" s="6"/>
      <c r="R448" s="7"/>
      <c r="S448" s="6"/>
      <c r="T448" s="6"/>
      <c r="U448" s="7"/>
      <c r="V448" s="7"/>
    </row>
    <row r="449" spans="3:22" x14ac:dyDescent="0.2">
      <c r="C449" s="6"/>
      <c r="D449" s="6"/>
      <c r="E449" s="7"/>
      <c r="F449" s="7"/>
      <c r="G449" s="7"/>
      <c r="H449" s="7"/>
      <c r="O449" s="6"/>
      <c r="R449" s="7"/>
      <c r="S449" s="6"/>
      <c r="T449" s="6"/>
      <c r="U449" s="7"/>
      <c r="V449" s="7"/>
    </row>
    <row r="450" spans="3:22" x14ac:dyDescent="0.2">
      <c r="C450" s="6"/>
      <c r="D450" s="6"/>
      <c r="E450" s="7"/>
      <c r="F450" s="7"/>
      <c r="G450" s="7"/>
      <c r="H450" s="7"/>
      <c r="O450" s="6"/>
      <c r="R450" s="7"/>
      <c r="S450" s="6"/>
      <c r="T450" s="6"/>
      <c r="U450" s="7"/>
      <c r="V450" s="7"/>
    </row>
    <row r="451" spans="3:22" x14ac:dyDescent="0.2">
      <c r="C451" s="6"/>
      <c r="D451" s="6"/>
      <c r="E451" s="7"/>
      <c r="F451" s="7"/>
      <c r="G451" s="7"/>
      <c r="H451" s="7"/>
      <c r="O451" s="6"/>
      <c r="R451" s="7"/>
      <c r="S451" s="6"/>
      <c r="T451" s="6"/>
      <c r="U451" s="7"/>
      <c r="V451" s="7"/>
    </row>
    <row r="452" spans="3:22" x14ac:dyDescent="0.2">
      <c r="C452" s="6"/>
      <c r="D452" s="6"/>
      <c r="E452" s="7"/>
      <c r="F452" s="7"/>
      <c r="G452" s="7"/>
      <c r="H452" s="7"/>
      <c r="O452" s="6"/>
      <c r="R452" s="7"/>
      <c r="S452" s="6"/>
      <c r="T452" s="6"/>
      <c r="U452" s="7"/>
      <c r="V452" s="7"/>
    </row>
    <row r="453" spans="3:22" x14ac:dyDescent="0.2">
      <c r="C453" s="6"/>
      <c r="D453" s="6"/>
      <c r="E453" s="7"/>
      <c r="F453" s="7"/>
      <c r="G453" s="7"/>
      <c r="H453" s="7"/>
      <c r="O453" s="6"/>
      <c r="R453" s="7"/>
      <c r="S453" s="6"/>
      <c r="T453" s="6"/>
      <c r="U453" s="7"/>
      <c r="V453" s="7"/>
    </row>
    <row r="454" spans="3:22" x14ac:dyDescent="0.2">
      <c r="C454" s="6"/>
      <c r="D454" s="6"/>
      <c r="E454" s="7"/>
      <c r="F454" s="7"/>
      <c r="G454" s="7"/>
      <c r="H454" s="7"/>
      <c r="O454" s="6"/>
      <c r="R454" s="7"/>
      <c r="S454" s="6"/>
      <c r="T454" s="6"/>
      <c r="U454" s="7"/>
      <c r="V454" s="7"/>
    </row>
    <row r="455" spans="3:22" x14ac:dyDescent="0.2">
      <c r="C455" s="6"/>
      <c r="D455" s="6"/>
      <c r="E455" s="7"/>
      <c r="F455" s="7"/>
      <c r="G455" s="7"/>
      <c r="H455" s="7"/>
      <c r="O455" s="6"/>
      <c r="R455" s="7"/>
      <c r="S455" s="6"/>
      <c r="T455" s="6"/>
      <c r="U455" s="7"/>
      <c r="V455" s="7"/>
    </row>
    <row r="456" spans="3:22" x14ac:dyDescent="0.2">
      <c r="C456" s="6"/>
      <c r="D456" s="6"/>
      <c r="E456" s="7"/>
      <c r="F456" s="7"/>
      <c r="G456" s="7"/>
      <c r="H456" s="7"/>
      <c r="O456" s="6"/>
      <c r="R456" s="7"/>
      <c r="S456" s="6"/>
      <c r="T456" s="6"/>
      <c r="U456" s="7"/>
      <c r="V456" s="7"/>
    </row>
    <row r="457" spans="3:22" x14ac:dyDescent="0.2">
      <c r="C457" s="6"/>
      <c r="D457" s="6"/>
      <c r="E457" s="7"/>
      <c r="F457" s="7"/>
      <c r="G457" s="7"/>
      <c r="H457" s="7"/>
      <c r="O457" s="6"/>
      <c r="R457" s="7"/>
      <c r="S457" s="6"/>
      <c r="T457" s="6"/>
      <c r="U457" s="7"/>
      <c r="V457" s="7"/>
    </row>
    <row r="458" spans="3:22" x14ac:dyDescent="0.2">
      <c r="C458" s="6"/>
      <c r="D458" s="6"/>
      <c r="E458" s="7"/>
      <c r="F458" s="7"/>
      <c r="G458" s="7"/>
      <c r="H458" s="7"/>
      <c r="O458" s="6"/>
      <c r="R458" s="7"/>
      <c r="S458" s="6"/>
      <c r="T458" s="6"/>
      <c r="U458" s="7"/>
      <c r="V458" s="7"/>
    </row>
    <row r="459" spans="3:22" x14ac:dyDescent="0.2">
      <c r="C459" s="6"/>
      <c r="D459" s="6"/>
      <c r="E459" s="7"/>
      <c r="F459" s="7"/>
      <c r="G459" s="7"/>
      <c r="H459" s="7"/>
      <c r="O459" s="6"/>
      <c r="R459" s="7"/>
      <c r="S459" s="6"/>
      <c r="T459" s="6"/>
      <c r="U459" s="7"/>
      <c r="V459" s="7"/>
    </row>
    <row r="460" spans="3:22" x14ac:dyDescent="0.2">
      <c r="C460" s="6"/>
      <c r="D460" s="6"/>
      <c r="E460" s="7"/>
      <c r="F460" s="7"/>
      <c r="G460" s="7"/>
      <c r="H460" s="7"/>
      <c r="O460" s="6"/>
      <c r="R460" s="7"/>
      <c r="S460" s="6"/>
      <c r="T460" s="6"/>
      <c r="U460" s="7"/>
      <c r="V460" s="7"/>
    </row>
    <row r="461" spans="3:22" x14ac:dyDescent="0.2">
      <c r="C461" s="6"/>
      <c r="D461" s="6"/>
      <c r="E461" s="7"/>
      <c r="F461" s="7"/>
      <c r="G461" s="7"/>
      <c r="H461" s="7"/>
      <c r="O461" s="6"/>
      <c r="R461" s="7"/>
      <c r="S461" s="6"/>
      <c r="T461" s="6"/>
      <c r="U461" s="7"/>
      <c r="V461" s="7"/>
    </row>
    <row r="462" spans="3:22" x14ac:dyDescent="0.2">
      <c r="C462" s="6"/>
      <c r="D462" s="6"/>
      <c r="E462" s="7"/>
      <c r="F462" s="7"/>
      <c r="G462" s="7"/>
      <c r="H462" s="7"/>
      <c r="O462" s="6"/>
      <c r="R462" s="7"/>
      <c r="S462" s="6"/>
      <c r="T462" s="6"/>
      <c r="U462" s="7"/>
      <c r="V462" s="7"/>
    </row>
    <row r="463" spans="3:22" x14ac:dyDescent="0.2">
      <c r="C463" s="6"/>
      <c r="D463" s="6"/>
      <c r="E463" s="7"/>
      <c r="F463" s="7"/>
      <c r="G463" s="7"/>
      <c r="H463" s="7"/>
      <c r="O463" s="6"/>
      <c r="R463" s="7"/>
      <c r="S463" s="6"/>
      <c r="T463" s="6"/>
      <c r="U463" s="7"/>
      <c r="V463" s="7"/>
    </row>
    <row r="464" spans="3:22" x14ac:dyDescent="0.2">
      <c r="C464" s="6"/>
      <c r="D464" s="6"/>
      <c r="E464" s="7"/>
      <c r="F464" s="7"/>
      <c r="G464" s="7"/>
      <c r="H464" s="7"/>
      <c r="O464" s="6"/>
      <c r="R464" s="7"/>
      <c r="S464" s="6"/>
      <c r="T464" s="6"/>
      <c r="U464" s="7"/>
      <c r="V464" s="7"/>
    </row>
    <row r="465" spans="3:22" x14ac:dyDescent="0.2">
      <c r="C465" s="6"/>
      <c r="D465" s="6"/>
      <c r="E465" s="7"/>
      <c r="F465" s="7"/>
      <c r="G465" s="7"/>
      <c r="H465" s="7"/>
      <c r="O465" s="6"/>
      <c r="R465" s="7"/>
      <c r="S465" s="6"/>
      <c r="T465" s="6"/>
      <c r="U465" s="7"/>
      <c r="V465" s="7"/>
    </row>
    <row r="466" spans="3:22" x14ac:dyDescent="0.2">
      <c r="C466" s="6"/>
      <c r="D466" s="6"/>
      <c r="E466" s="7"/>
      <c r="F466" s="7"/>
      <c r="G466" s="7"/>
      <c r="H466" s="7"/>
      <c r="O466" s="6"/>
      <c r="R466" s="7"/>
      <c r="S466" s="6"/>
      <c r="T466" s="6"/>
      <c r="U466" s="7"/>
      <c r="V466" s="7"/>
    </row>
    <row r="467" spans="3:22" x14ac:dyDescent="0.2">
      <c r="C467" s="6"/>
      <c r="D467" s="6"/>
      <c r="E467" s="7"/>
      <c r="F467" s="7"/>
      <c r="G467" s="7"/>
      <c r="H467" s="7"/>
      <c r="O467" s="6"/>
      <c r="R467" s="7"/>
      <c r="S467" s="6"/>
      <c r="T467" s="6"/>
      <c r="U467" s="7"/>
      <c r="V467" s="7"/>
    </row>
    <row r="468" spans="3:22" x14ac:dyDescent="0.2">
      <c r="C468" s="6"/>
      <c r="D468" s="6"/>
      <c r="E468" s="7"/>
      <c r="F468" s="7"/>
      <c r="G468" s="7"/>
      <c r="H468" s="7"/>
      <c r="O468" s="6"/>
      <c r="R468" s="7"/>
      <c r="S468" s="6"/>
      <c r="T468" s="6"/>
      <c r="U468" s="7"/>
      <c r="V468" s="7"/>
    </row>
    <row r="469" spans="3:22" x14ac:dyDescent="0.2">
      <c r="C469" s="6"/>
      <c r="D469" s="6"/>
      <c r="E469" s="7"/>
      <c r="F469" s="7"/>
      <c r="G469" s="7"/>
      <c r="H469" s="7"/>
      <c r="O469" s="6"/>
      <c r="R469" s="7"/>
      <c r="S469" s="6"/>
      <c r="T469" s="6"/>
      <c r="U469" s="7"/>
      <c r="V469" s="7"/>
    </row>
    <row r="470" spans="3:22" x14ac:dyDescent="0.2">
      <c r="C470" s="6"/>
      <c r="D470" s="6"/>
      <c r="E470" s="7"/>
      <c r="F470" s="7"/>
      <c r="G470" s="7"/>
      <c r="H470" s="7"/>
      <c r="O470" s="6"/>
      <c r="R470" s="7"/>
      <c r="S470" s="6"/>
      <c r="T470" s="6"/>
      <c r="U470" s="7"/>
      <c r="V470" s="7"/>
    </row>
    <row r="471" spans="3:22" x14ac:dyDescent="0.2">
      <c r="C471" s="6"/>
      <c r="D471" s="6"/>
      <c r="E471" s="7"/>
      <c r="F471" s="7"/>
      <c r="G471" s="7"/>
      <c r="H471" s="7"/>
      <c r="O471" s="6"/>
      <c r="R471" s="7"/>
      <c r="S471" s="6"/>
      <c r="T471" s="6"/>
      <c r="U471" s="7"/>
      <c r="V471" s="7"/>
    </row>
    <row r="472" spans="3:22" x14ac:dyDescent="0.2">
      <c r="C472" s="6"/>
      <c r="D472" s="6"/>
      <c r="E472" s="7"/>
      <c r="F472" s="7"/>
      <c r="G472" s="7"/>
      <c r="H472" s="7"/>
      <c r="O472" s="6"/>
      <c r="R472" s="7"/>
      <c r="S472" s="6"/>
      <c r="T472" s="6"/>
      <c r="U472" s="7"/>
      <c r="V472" s="7"/>
    </row>
    <row r="473" spans="3:22" x14ac:dyDescent="0.2">
      <c r="C473" s="6"/>
      <c r="D473" s="6"/>
      <c r="E473" s="7"/>
      <c r="F473" s="7"/>
      <c r="G473" s="7"/>
      <c r="H473" s="7"/>
      <c r="O473" s="6"/>
      <c r="R473" s="7"/>
      <c r="S473" s="6"/>
      <c r="T473" s="6"/>
      <c r="U473" s="7"/>
      <c r="V473" s="7"/>
    </row>
    <row r="474" spans="3:22" x14ac:dyDescent="0.2">
      <c r="C474" s="6"/>
      <c r="D474" s="6"/>
      <c r="E474" s="7"/>
      <c r="F474" s="7"/>
      <c r="G474" s="7"/>
      <c r="H474" s="7"/>
      <c r="O474" s="6"/>
      <c r="R474" s="7"/>
      <c r="S474" s="6"/>
      <c r="T474" s="6"/>
      <c r="U474" s="7"/>
      <c r="V474" s="7"/>
    </row>
    <row r="475" spans="3:22" x14ac:dyDescent="0.2">
      <c r="C475" s="6"/>
      <c r="D475" s="6"/>
      <c r="E475" s="7"/>
      <c r="F475" s="7"/>
      <c r="G475" s="7"/>
      <c r="H475" s="7"/>
      <c r="O475" s="6"/>
      <c r="R475" s="7"/>
      <c r="S475" s="6"/>
      <c r="T475" s="6"/>
      <c r="U475" s="7"/>
      <c r="V475" s="7"/>
    </row>
    <row r="476" spans="3:22" x14ac:dyDescent="0.2">
      <c r="C476" s="6"/>
      <c r="D476" s="6"/>
      <c r="E476" s="7"/>
      <c r="F476" s="7"/>
      <c r="G476" s="7"/>
      <c r="H476" s="7"/>
      <c r="O476" s="6"/>
      <c r="R476" s="7"/>
      <c r="S476" s="6"/>
      <c r="T476" s="6"/>
      <c r="U476" s="7"/>
      <c r="V476" s="7"/>
    </row>
    <row r="477" spans="3:22" x14ac:dyDescent="0.2">
      <c r="C477" s="6"/>
      <c r="D477" s="6"/>
      <c r="E477" s="7"/>
      <c r="F477" s="7"/>
      <c r="G477" s="7"/>
      <c r="H477" s="7"/>
      <c r="O477" s="6"/>
      <c r="R477" s="7"/>
      <c r="S477" s="6"/>
      <c r="T477" s="6"/>
      <c r="U477" s="7"/>
      <c r="V477" s="7"/>
    </row>
    <row r="478" spans="3:22" x14ac:dyDescent="0.2">
      <c r="C478" s="6"/>
      <c r="D478" s="6"/>
      <c r="E478" s="7"/>
      <c r="F478" s="7"/>
      <c r="G478" s="7"/>
      <c r="H478" s="7"/>
      <c r="O478" s="6"/>
      <c r="R478" s="7"/>
      <c r="S478" s="6"/>
      <c r="T478" s="6"/>
      <c r="U478" s="7"/>
      <c r="V478" s="7"/>
    </row>
    <row r="479" spans="3:22" x14ac:dyDescent="0.2">
      <c r="C479" s="6"/>
      <c r="D479" s="6"/>
      <c r="E479" s="7"/>
      <c r="F479" s="7"/>
      <c r="G479" s="7"/>
      <c r="H479" s="7"/>
      <c r="O479" s="6"/>
      <c r="R479" s="7"/>
      <c r="S479" s="6"/>
      <c r="T479" s="6"/>
      <c r="U479" s="7"/>
      <c r="V479" s="7"/>
    </row>
    <row r="480" spans="3:22" x14ac:dyDescent="0.2">
      <c r="C480" s="6"/>
      <c r="D480" s="6"/>
      <c r="E480" s="7"/>
      <c r="F480" s="7"/>
      <c r="G480" s="7"/>
      <c r="H480" s="7"/>
      <c r="O480" s="6"/>
      <c r="R480" s="7"/>
      <c r="S480" s="6"/>
      <c r="T480" s="6"/>
      <c r="U480" s="7"/>
      <c r="V480" s="7"/>
    </row>
    <row r="481" spans="3:22" x14ac:dyDescent="0.2">
      <c r="C481" s="6"/>
      <c r="D481" s="6"/>
      <c r="E481" s="7"/>
      <c r="F481" s="7"/>
      <c r="G481" s="7"/>
      <c r="H481" s="7"/>
      <c r="O481" s="6"/>
      <c r="R481" s="7"/>
      <c r="S481" s="6"/>
      <c r="T481" s="6"/>
      <c r="U481" s="7"/>
      <c r="V481" s="7"/>
    </row>
    <row r="482" spans="3:22" x14ac:dyDescent="0.2">
      <c r="C482" s="6"/>
      <c r="D482" s="6"/>
      <c r="E482" s="7"/>
      <c r="F482" s="7"/>
      <c r="G482" s="7"/>
      <c r="H482" s="7"/>
      <c r="O482" s="6"/>
      <c r="R482" s="7"/>
      <c r="S482" s="6"/>
      <c r="T482" s="6"/>
      <c r="U482" s="7"/>
      <c r="V482" s="7"/>
    </row>
    <row r="483" spans="3:22" x14ac:dyDescent="0.2">
      <c r="C483" s="6"/>
      <c r="D483" s="6"/>
      <c r="E483" s="7"/>
      <c r="F483" s="7"/>
      <c r="G483" s="7"/>
      <c r="H483" s="7"/>
      <c r="O483" s="6"/>
      <c r="R483" s="7"/>
      <c r="S483" s="6"/>
      <c r="T483" s="6"/>
      <c r="U483" s="7"/>
      <c r="V483" s="7"/>
    </row>
    <row r="484" spans="3:22" x14ac:dyDescent="0.2">
      <c r="C484" s="6"/>
      <c r="D484" s="6"/>
      <c r="E484" s="7"/>
      <c r="F484" s="7"/>
      <c r="G484" s="7"/>
      <c r="H484" s="7"/>
      <c r="O484" s="6"/>
      <c r="R484" s="7"/>
      <c r="S484" s="6"/>
      <c r="T484" s="6"/>
      <c r="U484" s="7"/>
      <c r="V484" s="7"/>
    </row>
    <row r="485" spans="3:22" x14ac:dyDescent="0.2">
      <c r="C485" s="6"/>
      <c r="D485" s="6"/>
      <c r="E485" s="7"/>
      <c r="F485" s="7"/>
      <c r="G485" s="7"/>
      <c r="H485" s="7"/>
      <c r="O485" s="6"/>
      <c r="R485" s="7"/>
      <c r="S485" s="6"/>
      <c r="T485" s="6"/>
      <c r="U485" s="7"/>
      <c r="V485" s="7"/>
    </row>
    <row r="486" spans="3:22" x14ac:dyDescent="0.2">
      <c r="C486" s="6"/>
      <c r="D486" s="6"/>
      <c r="E486" s="7"/>
      <c r="F486" s="7"/>
      <c r="G486" s="7"/>
      <c r="H486" s="7"/>
      <c r="O486" s="6"/>
      <c r="R486" s="7"/>
      <c r="S486" s="6"/>
      <c r="T486" s="6"/>
      <c r="U486" s="7"/>
      <c r="V486" s="7"/>
    </row>
    <row r="487" spans="3:22" x14ac:dyDescent="0.2">
      <c r="C487" s="6"/>
      <c r="D487" s="6"/>
      <c r="E487" s="7"/>
      <c r="F487" s="7"/>
      <c r="G487" s="7"/>
      <c r="H487" s="7"/>
      <c r="O487" s="6"/>
      <c r="R487" s="7"/>
      <c r="S487" s="6"/>
      <c r="T487" s="6"/>
      <c r="U487" s="7"/>
      <c r="V487" s="7"/>
    </row>
    <row r="488" spans="3:22" x14ac:dyDescent="0.2">
      <c r="C488" s="6"/>
      <c r="D488" s="6"/>
      <c r="E488" s="7"/>
      <c r="F488" s="7"/>
      <c r="G488" s="7"/>
      <c r="H488" s="7"/>
      <c r="O488" s="6"/>
      <c r="R488" s="7"/>
      <c r="S488" s="6"/>
      <c r="T488" s="6"/>
      <c r="U488" s="7"/>
      <c r="V488" s="7"/>
    </row>
    <row r="489" spans="3:22" x14ac:dyDescent="0.2">
      <c r="C489" s="6"/>
      <c r="D489" s="6"/>
      <c r="E489" s="7"/>
      <c r="F489" s="7"/>
      <c r="G489" s="7"/>
      <c r="H489" s="7"/>
      <c r="O489" s="6"/>
      <c r="R489" s="7"/>
      <c r="S489" s="6"/>
      <c r="T489" s="6"/>
      <c r="U489" s="7"/>
      <c r="V489" s="7"/>
    </row>
    <row r="490" spans="3:22" x14ac:dyDescent="0.2">
      <c r="C490" s="6"/>
      <c r="D490" s="6"/>
      <c r="E490" s="7"/>
      <c r="F490" s="7"/>
      <c r="G490" s="7"/>
      <c r="H490" s="7"/>
      <c r="O490" s="6"/>
      <c r="R490" s="7"/>
      <c r="S490" s="6"/>
      <c r="T490" s="6"/>
      <c r="U490" s="7"/>
      <c r="V490" s="7"/>
    </row>
    <row r="491" spans="3:22" x14ac:dyDescent="0.2">
      <c r="C491" s="6"/>
      <c r="D491" s="6"/>
      <c r="E491" s="7"/>
      <c r="F491" s="7"/>
      <c r="G491" s="7"/>
      <c r="H491" s="7"/>
      <c r="O491" s="6"/>
      <c r="R491" s="7"/>
      <c r="S491" s="6"/>
      <c r="T491" s="6"/>
      <c r="U491" s="7"/>
      <c r="V491" s="7"/>
    </row>
    <row r="492" spans="3:22" x14ac:dyDescent="0.2">
      <c r="C492" s="6"/>
      <c r="D492" s="6"/>
      <c r="E492" s="7"/>
      <c r="F492" s="7"/>
      <c r="G492" s="7"/>
      <c r="H492" s="7"/>
      <c r="O492" s="6"/>
      <c r="R492" s="7"/>
      <c r="S492" s="6"/>
      <c r="T492" s="6"/>
      <c r="U492" s="7"/>
      <c r="V492" s="7"/>
    </row>
    <row r="493" spans="3:22" x14ac:dyDescent="0.2">
      <c r="C493" s="6"/>
      <c r="D493" s="6"/>
      <c r="E493" s="7"/>
      <c r="F493" s="7"/>
      <c r="G493" s="7"/>
      <c r="H493" s="7"/>
      <c r="O493" s="6"/>
      <c r="R493" s="7"/>
      <c r="S493" s="6"/>
      <c r="T493" s="6"/>
      <c r="U493" s="7"/>
      <c r="V493" s="7"/>
    </row>
    <row r="494" spans="3:22" x14ac:dyDescent="0.2">
      <c r="C494" s="6"/>
      <c r="D494" s="6"/>
      <c r="E494" s="7"/>
      <c r="F494" s="7"/>
      <c r="G494" s="7"/>
      <c r="H494" s="7"/>
      <c r="O494" s="6"/>
      <c r="R494" s="7"/>
      <c r="S494" s="6"/>
      <c r="T494" s="6"/>
      <c r="U494" s="7"/>
      <c r="V494" s="7"/>
    </row>
    <row r="495" spans="3:22" x14ac:dyDescent="0.2">
      <c r="C495" s="6"/>
      <c r="D495" s="6"/>
      <c r="E495" s="7"/>
      <c r="F495" s="7"/>
      <c r="G495" s="7"/>
      <c r="H495" s="7"/>
      <c r="O495" s="6"/>
      <c r="R495" s="7"/>
      <c r="S495" s="6"/>
      <c r="T495" s="6"/>
      <c r="U495" s="7"/>
      <c r="V495" s="7"/>
    </row>
    <row r="496" spans="3:22" x14ac:dyDescent="0.2">
      <c r="C496" s="6"/>
      <c r="D496" s="6"/>
      <c r="E496" s="7"/>
      <c r="F496" s="7"/>
      <c r="G496" s="7"/>
      <c r="H496" s="7"/>
      <c r="O496" s="6"/>
      <c r="R496" s="7"/>
      <c r="S496" s="6"/>
      <c r="T496" s="6"/>
      <c r="U496" s="7"/>
      <c r="V496" s="7"/>
    </row>
    <row r="497" spans="3:22" x14ac:dyDescent="0.2">
      <c r="C497" s="6"/>
      <c r="D497" s="6"/>
      <c r="E497" s="7"/>
      <c r="F497" s="7"/>
      <c r="G497" s="7"/>
      <c r="H497" s="7"/>
      <c r="O497" s="6"/>
      <c r="R497" s="7"/>
      <c r="S497" s="6"/>
      <c r="T497" s="6"/>
      <c r="U497" s="7"/>
      <c r="V497" s="7"/>
    </row>
    <row r="498" spans="3:22" x14ac:dyDescent="0.2">
      <c r="C498" s="6"/>
      <c r="D498" s="6"/>
      <c r="E498" s="7"/>
      <c r="F498" s="7"/>
      <c r="G498" s="7"/>
      <c r="H498" s="7"/>
      <c r="O498" s="6"/>
      <c r="R498" s="7"/>
      <c r="S498" s="6"/>
      <c r="T498" s="6"/>
      <c r="U498" s="7"/>
      <c r="V498" s="7"/>
    </row>
    <row r="499" spans="3:22" x14ac:dyDescent="0.2">
      <c r="C499" s="6"/>
      <c r="D499" s="6"/>
      <c r="E499" s="7"/>
      <c r="F499" s="7"/>
      <c r="G499" s="7"/>
      <c r="H499" s="7"/>
      <c r="O499" s="6"/>
      <c r="R499" s="7"/>
      <c r="S499" s="6"/>
      <c r="T499" s="6"/>
      <c r="U499" s="7"/>
      <c r="V499" s="7"/>
    </row>
    <row r="500" spans="3:22" x14ac:dyDescent="0.2">
      <c r="C500" s="6"/>
      <c r="D500" s="6"/>
      <c r="E500" s="7"/>
      <c r="F500" s="7"/>
      <c r="G500" s="7"/>
      <c r="H500" s="7"/>
      <c r="O500" s="6"/>
      <c r="R500" s="7"/>
      <c r="S500" s="6"/>
      <c r="T500" s="6"/>
      <c r="U500" s="7"/>
      <c r="V500" s="7"/>
    </row>
    <row r="501" spans="3:22" x14ac:dyDescent="0.2">
      <c r="C501" s="6"/>
      <c r="D501" s="6"/>
      <c r="E501" s="7"/>
      <c r="F501" s="7"/>
      <c r="G501" s="7"/>
      <c r="H501" s="7"/>
      <c r="O501" s="6"/>
      <c r="R501" s="7"/>
      <c r="S501" s="6"/>
      <c r="T501" s="6"/>
      <c r="U501" s="7"/>
      <c r="V501" s="7"/>
    </row>
    <row r="502" spans="3:22" x14ac:dyDescent="0.2">
      <c r="C502" s="6"/>
      <c r="D502" s="6"/>
      <c r="E502" s="7"/>
      <c r="F502" s="7"/>
      <c r="G502" s="7"/>
      <c r="H502" s="7"/>
      <c r="O502" s="6"/>
      <c r="R502" s="7"/>
      <c r="S502" s="6"/>
      <c r="T502" s="6"/>
      <c r="U502" s="7"/>
      <c r="V502" s="7"/>
    </row>
    <row r="503" spans="3:22" x14ac:dyDescent="0.2">
      <c r="C503" s="6"/>
      <c r="D503" s="6"/>
      <c r="E503" s="7"/>
      <c r="F503" s="7"/>
      <c r="G503" s="7"/>
      <c r="H503" s="7"/>
      <c r="O503" s="6"/>
      <c r="R503" s="7"/>
      <c r="S503" s="6"/>
      <c r="T503" s="6"/>
      <c r="U503" s="7"/>
      <c r="V503" s="7"/>
    </row>
    <row r="504" spans="3:22" x14ac:dyDescent="0.2">
      <c r="C504" s="6"/>
      <c r="D504" s="6"/>
      <c r="E504" s="7"/>
      <c r="F504" s="7"/>
      <c r="G504" s="7"/>
      <c r="H504" s="7"/>
      <c r="O504" s="6"/>
      <c r="R504" s="7"/>
      <c r="S504" s="6"/>
      <c r="T504" s="6"/>
      <c r="U504" s="7"/>
      <c r="V504" s="7"/>
    </row>
    <row r="505" spans="3:22" x14ac:dyDescent="0.2">
      <c r="C505" s="6"/>
      <c r="D505" s="6"/>
      <c r="E505" s="7"/>
      <c r="F505" s="7"/>
      <c r="G505" s="7"/>
      <c r="H505" s="7"/>
      <c r="O505" s="6"/>
      <c r="R505" s="7"/>
      <c r="S505" s="6"/>
      <c r="T505" s="6"/>
      <c r="U505" s="7"/>
      <c r="V505" s="7"/>
    </row>
    <row r="506" spans="3:22" x14ac:dyDescent="0.2">
      <c r="C506" s="6"/>
      <c r="D506" s="6"/>
      <c r="E506" s="7"/>
      <c r="F506" s="7"/>
      <c r="G506" s="7"/>
      <c r="H506" s="7"/>
      <c r="O506" s="6"/>
      <c r="R506" s="7"/>
      <c r="S506" s="6"/>
      <c r="T506" s="6"/>
      <c r="U506" s="7"/>
      <c r="V506" s="7"/>
    </row>
    <row r="507" spans="3:22" x14ac:dyDescent="0.2">
      <c r="C507" s="6"/>
      <c r="D507" s="6"/>
      <c r="E507" s="7"/>
      <c r="F507" s="7"/>
      <c r="G507" s="7"/>
      <c r="H507" s="7"/>
      <c r="O507" s="6"/>
      <c r="R507" s="7"/>
      <c r="S507" s="6"/>
      <c r="T507" s="6"/>
      <c r="U507" s="7"/>
      <c r="V507" s="7"/>
    </row>
    <row r="508" spans="3:22" x14ac:dyDescent="0.2">
      <c r="C508" s="6"/>
      <c r="D508" s="6"/>
      <c r="E508" s="7"/>
      <c r="F508" s="7"/>
      <c r="G508" s="7"/>
      <c r="H508" s="7"/>
      <c r="O508" s="6"/>
      <c r="R508" s="7"/>
      <c r="S508" s="6"/>
      <c r="T508" s="6"/>
      <c r="U508" s="7"/>
      <c r="V508" s="7"/>
    </row>
    <row r="509" spans="3:22" x14ac:dyDescent="0.2">
      <c r="C509" s="6"/>
      <c r="D509" s="6"/>
      <c r="E509" s="7"/>
      <c r="F509" s="7"/>
      <c r="G509" s="7"/>
      <c r="H509" s="7"/>
      <c r="O509" s="6"/>
      <c r="R509" s="7"/>
      <c r="S509" s="6"/>
      <c r="T509" s="6"/>
      <c r="U509" s="7"/>
      <c r="V509" s="7"/>
    </row>
    <row r="510" spans="3:22" x14ac:dyDescent="0.2">
      <c r="C510" s="6"/>
      <c r="D510" s="6"/>
      <c r="E510" s="7"/>
      <c r="F510" s="7"/>
      <c r="G510" s="7"/>
      <c r="H510" s="7"/>
      <c r="O510" s="6"/>
      <c r="R510" s="7"/>
      <c r="S510" s="6"/>
      <c r="T510" s="6"/>
      <c r="U510" s="7"/>
      <c r="V510" s="7"/>
    </row>
    <row r="511" spans="3:22" x14ac:dyDescent="0.2">
      <c r="C511" s="6"/>
      <c r="D511" s="6"/>
      <c r="E511" s="7"/>
      <c r="F511" s="7"/>
      <c r="G511" s="7"/>
      <c r="H511" s="7"/>
      <c r="O511" s="6"/>
      <c r="R511" s="7"/>
      <c r="S511" s="6"/>
      <c r="T511" s="6"/>
      <c r="U511" s="7"/>
      <c r="V511" s="7"/>
    </row>
    <row r="512" spans="3:22" x14ac:dyDescent="0.2">
      <c r="C512" s="6"/>
      <c r="D512" s="6"/>
      <c r="E512" s="7"/>
      <c r="F512" s="7"/>
      <c r="G512" s="7"/>
      <c r="H512" s="7"/>
      <c r="O512" s="6"/>
      <c r="R512" s="7"/>
      <c r="S512" s="6"/>
      <c r="T512" s="6"/>
      <c r="U512" s="7"/>
      <c r="V512" s="7"/>
    </row>
    <row r="513" spans="3:22" x14ac:dyDescent="0.2">
      <c r="C513" s="6"/>
      <c r="D513" s="6"/>
      <c r="E513" s="7"/>
      <c r="F513" s="7"/>
      <c r="G513" s="7"/>
      <c r="H513" s="7"/>
      <c r="O513" s="6"/>
      <c r="R513" s="7"/>
      <c r="S513" s="6"/>
      <c r="T513" s="6"/>
      <c r="U513" s="7"/>
      <c r="V513" s="7"/>
    </row>
    <row r="514" spans="3:22" x14ac:dyDescent="0.2">
      <c r="C514" s="6"/>
      <c r="D514" s="6"/>
      <c r="E514" s="7"/>
      <c r="F514" s="7"/>
      <c r="G514" s="7"/>
      <c r="H514" s="7"/>
      <c r="O514" s="6"/>
      <c r="R514" s="7"/>
      <c r="S514" s="6"/>
      <c r="T514" s="6"/>
      <c r="U514" s="7"/>
      <c r="V514" s="7"/>
    </row>
    <row r="515" spans="3:22" x14ac:dyDescent="0.2">
      <c r="C515" s="6"/>
      <c r="D515" s="6"/>
      <c r="E515" s="7"/>
      <c r="F515" s="7"/>
      <c r="G515" s="7"/>
      <c r="H515" s="7"/>
      <c r="O515" s="6"/>
      <c r="R515" s="7"/>
      <c r="S515" s="6"/>
      <c r="T515" s="6"/>
      <c r="U515" s="7"/>
      <c r="V515" s="7"/>
    </row>
    <row r="516" spans="3:22" x14ac:dyDescent="0.2">
      <c r="C516" s="6"/>
      <c r="D516" s="6"/>
      <c r="E516" s="7"/>
      <c r="F516" s="7"/>
      <c r="G516" s="7"/>
      <c r="H516" s="7"/>
      <c r="O516" s="6"/>
      <c r="R516" s="7"/>
      <c r="S516" s="6"/>
      <c r="T516" s="6"/>
      <c r="U516" s="7"/>
      <c r="V516" s="7"/>
    </row>
    <row r="517" spans="3:22" x14ac:dyDescent="0.2">
      <c r="C517" s="6"/>
      <c r="D517" s="6"/>
      <c r="E517" s="7"/>
      <c r="F517" s="7"/>
      <c r="G517" s="7"/>
      <c r="H517" s="7"/>
      <c r="O517" s="6"/>
      <c r="R517" s="7"/>
      <c r="S517" s="6"/>
      <c r="T517" s="6"/>
      <c r="U517" s="7"/>
      <c r="V517" s="7"/>
    </row>
    <row r="518" spans="3:22" x14ac:dyDescent="0.2">
      <c r="C518" s="6"/>
      <c r="D518" s="6"/>
      <c r="E518" s="7"/>
      <c r="F518" s="7"/>
      <c r="G518" s="7"/>
      <c r="H518" s="7"/>
      <c r="O518" s="6"/>
      <c r="R518" s="7"/>
      <c r="S518" s="6"/>
      <c r="T518" s="6"/>
      <c r="U518" s="7"/>
      <c r="V518" s="7"/>
    </row>
    <row r="519" spans="3:22" x14ac:dyDescent="0.2">
      <c r="C519" s="6"/>
      <c r="D519" s="6"/>
      <c r="E519" s="7"/>
      <c r="F519" s="7"/>
      <c r="G519" s="7"/>
      <c r="H519" s="7"/>
      <c r="O519" s="6"/>
      <c r="R519" s="7"/>
      <c r="S519" s="6"/>
      <c r="T519" s="6"/>
      <c r="U519" s="7"/>
      <c r="V519" s="7"/>
    </row>
    <row r="520" spans="3:22" x14ac:dyDescent="0.2">
      <c r="C520" s="6"/>
      <c r="D520" s="6"/>
      <c r="E520" s="7"/>
      <c r="F520" s="7"/>
      <c r="G520" s="7"/>
      <c r="H520" s="7"/>
      <c r="O520" s="6"/>
      <c r="R520" s="7"/>
      <c r="S520" s="6"/>
      <c r="T520" s="6"/>
      <c r="U520" s="7"/>
      <c r="V520" s="7"/>
    </row>
    <row r="521" spans="3:22" x14ac:dyDescent="0.2">
      <c r="C521" s="6"/>
      <c r="D521" s="6"/>
      <c r="E521" s="7"/>
      <c r="F521" s="7"/>
      <c r="G521" s="7"/>
      <c r="H521" s="7"/>
      <c r="O521" s="6"/>
      <c r="R521" s="7"/>
      <c r="S521" s="6"/>
      <c r="T521" s="6"/>
      <c r="U521" s="7"/>
      <c r="V521" s="7"/>
    </row>
    <row r="522" spans="3:22" x14ac:dyDescent="0.2">
      <c r="C522" s="6"/>
      <c r="D522" s="6"/>
      <c r="E522" s="7"/>
      <c r="F522" s="7"/>
      <c r="G522" s="7"/>
      <c r="H522" s="7"/>
      <c r="O522" s="6"/>
      <c r="R522" s="7"/>
      <c r="S522" s="6"/>
      <c r="T522" s="6"/>
      <c r="U522" s="7"/>
      <c r="V522" s="7"/>
    </row>
    <row r="523" spans="3:22" x14ac:dyDescent="0.2">
      <c r="C523" s="6"/>
      <c r="D523" s="6"/>
      <c r="E523" s="7"/>
      <c r="F523" s="7"/>
      <c r="G523" s="7"/>
      <c r="H523" s="7"/>
      <c r="O523" s="6"/>
      <c r="R523" s="7"/>
      <c r="S523" s="6"/>
      <c r="T523" s="6"/>
      <c r="U523" s="7"/>
      <c r="V523" s="7"/>
    </row>
    <row r="524" spans="3:22" x14ac:dyDescent="0.2">
      <c r="C524" s="6"/>
      <c r="D524" s="6"/>
      <c r="E524" s="7"/>
      <c r="F524" s="7"/>
      <c r="G524" s="7"/>
      <c r="H524" s="7"/>
      <c r="O524" s="6"/>
      <c r="R524" s="7"/>
      <c r="S524" s="6"/>
      <c r="T524" s="6"/>
      <c r="U524" s="7"/>
      <c r="V524" s="7"/>
    </row>
    <row r="525" spans="3:22" x14ac:dyDescent="0.2">
      <c r="C525" s="6"/>
      <c r="D525" s="6"/>
      <c r="E525" s="7"/>
      <c r="F525" s="7"/>
      <c r="G525" s="7"/>
      <c r="H525" s="7"/>
      <c r="O525" s="6"/>
      <c r="R525" s="7"/>
      <c r="S525" s="6"/>
      <c r="T525" s="6"/>
      <c r="U525" s="7"/>
      <c r="V525" s="7"/>
    </row>
    <row r="526" spans="3:22" x14ac:dyDescent="0.2">
      <c r="C526" s="6"/>
      <c r="D526" s="6"/>
      <c r="E526" s="7"/>
      <c r="F526" s="7"/>
      <c r="G526" s="7"/>
      <c r="H526" s="7"/>
      <c r="O526" s="6"/>
      <c r="R526" s="7"/>
      <c r="S526" s="6"/>
      <c r="T526" s="6"/>
      <c r="U526" s="7"/>
      <c r="V526" s="7"/>
    </row>
    <row r="527" spans="3:22" x14ac:dyDescent="0.2">
      <c r="C527" s="6"/>
      <c r="D527" s="6"/>
      <c r="E527" s="7"/>
      <c r="F527" s="7"/>
      <c r="G527" s="7"/>
      <c r="H527" s="7"/>
      <c r="O527" s="6"/>
      <c r="R527" s="7"/>
      <c r="S527" s="6"/>
      <c r="T527" s="6"/>
      <c r="U527" s="7"/>
      <c r="V527" s="7"/>
    </row>
    <row r="528" spans="3:22" x14ac:dyDescent="0.2">
      <c r="C528" s="6"/>
      <c r="D528" s="6"/>
      <c r="E528" s="7"/>
      <c r="F528" s="7"/>
      <c r="G528" s="7"/>
      <c r="H528" s="7"/>
      <c r="O528" s="6"/>
      <c r="R528" s="7"/>
      <c r="S528" s="6"/>
      <c r="T528" s="6"/>
      <c r="U528" s="7"/>
      <c r="V528" s="7"/>
    </row>
    <row r="529" spans="3:22" x14ac:dyDescent="0.2">
      <c r="C529" s="6"/>
      <c r="D529" s="6"/>
      <c r="E529" s="7"/>
      <c r="F529" s="7"/>
      <c r="G529" s="7"/>
      <c r="H529" s="7"/>
      <c r="O529" s="6"/>
      <c r="R529" s="7"/>
      <c r="S529" s="6"/>
      <c r="T529" s="6"/>
      <c r="U529" s="7"/>
      <c r="V529" s="7"/>
    </row>
    <row r="530" spans="3:22" x14ac:dyDescent="0.2">
      <c r="C530" s="6"/>
      <c r="D530" s="6"/>
      <c r="E530" s="7"/>
      <c r="F530" s="7"/>
      <c r="G530" s="7"/>
      <c r="H530" s="7"/>
      <c r="O530" s="6"/>
      <c r="R530" s="7"/>
      <c r="S530" s="6"/>
      <c r="T530" s="6"/>
      <c r="U530" s="7"/>
      <c r="V530" s="7"/>
    </row>
    <row r="531" spans="3:22" x14ac:dyDescent="0.2">
      <c r="C531" s="6"/>
      <c r="D531" s="6"/>
      <c r="E531" s="7"/>
      <c r="F531" s="7"/>
      <c r="G531" s="7"/>
      <c r="H531" s="7"/>
      <c r="O531" s="6"/>
      <c r="R531" s="7"/>
      <c r="S531" s="6"/>
      <c r="T531" s="6"/>
      <c r="U531" s="7"/>
      <c r="V531" s="7"/>
    </row>
    <row r="532" spans="3:22" x14ac:dyDescent="0.2">
      <c r="C532" s="6"/>
      <c r="D532" s="6"/>
      <c r="E532" s="7"/>
      <c r="F532" s="7"/>
      <c r="G532" s="7"/>
      <c r="H532" s="7"/>
      <c r="O532" s="6"/>
      <c r="R532" s="7"/>
      <c r="S532" s="6"/>
      <c r="T532" s="6"/>
      <c r="U532" s="7"/>
      <c r="V532" s="7"/>
    </row>
    <row r="533" spans="3:22" x14ac:dyDescent="0.2">
      <c r="C533" s="6"/>
      <c r="D533" s="6"/>
      <c r="E533" s="7"/>
      <c r="F533" s="7"/>
      <c r="G533" s="7"/>
      <c r="H533" s="7"/>
      <c r="O533" s="6"/>
      <c r="R533" s="7"/>
      <c r="S533" s="6"/>
      <c r="T533" s="6"/>
      <c r="U533" s="7"/>
      <c r="V533" s="7"/>
    </row>
    <row r="534" spans="3:22" x14ac:dyDescent="0.2">
      <c r="C534" s="6"/>
      <c r="D534" s="6"/>
      <c r="E534" s="7"/>
      <c r="F534" s="7"/>
      <c r="G534" s="7"/>
      <c r="H534" s="7"/>
      <c r="O534" s="6"/>
      <c r="R534" s="7"/>
      <c r="S534" s="6"/>
      <c r="T534" s="6"/>
      <c r="U534" s="7"/>
      <c r="V534" s="7"/>
    </row>
    <row r="535" spans="3:22" x14ac:dyDescent="0.2">
      <c r="C535" s="6"/>
      <c r="D535" s="6"/>
      <c r="E535" s="7"/>
      <c r="F535" s="7"/>
      <c r="G535" s="7"/>
      <c r="H535" s="7"/>
      <c r="O535" s="6"/>
      <c r="R535" s="7"/>
      <c r="S535" s="6"/>
      <c r="T535" s="6"/>
      <c r="U535" s="7"/>
      <c r="V535" s="7"/>
    </row>
    <row r="536" spans="3:22" x14ac:dyDescent="0.2">
      <c r="C536" s="6"/>
      <c r="D536" s="6"/>
      <c r="E536" s="7"/>
      <c r="F536" s="7"/>
      <c r="G536" s="7"/>
      <c r="H536" s="7"/>
      <c r="O536" s="6"/>
      <c r="R536" s="7"/>
      <c r="S536" s="6"/>
      <c r="T536" s="6"/>
      <c r="U536" s="7"/>
      <c r="V536" s="7"/>
    </row>
    <row r="537" spans="3:22" x14ac:dyDescent="0.2">
      <c r="C537" s="6"/>
      <c r="D537" s="6"/>
      <c r="E537" s="7"/>
      <c r="F537" s="7"/>
      <c r="G537" s="7"/>
      <c r="H537" s="7"/>
      <c r="O537" s="6"/>
      <c r="R537" s="7"/>
      <c r="S537" s="6"/>
      <c r="T537" s="6"/>
      <c r="U537" s="7"/>
      <c r="V537" s="7"/>
    </row>
    <row r="538" spans="3:22" x14ac:dyDescent="0.2">
      <c r="C538" s="6"/>
      <c r="D538" s="6"/>
      <c r="E538" s="7"/>
      <c r="F538" s="7"/>
      <c r="G538" s="7"/>
      <c r="H538" s="7"/>
      <c r="O538" s="6"/>
      <c r="R538" s="7"/>
      <c r="S538" s="6"/>
      <c r="T538" s="6"/>
      <c r="U538" s="7"/>
      <c r="V538" s="7"/>
    </row>
    <row r="539" spans="3:22" x14ac:dyDescent="0.2">
      <c r="C539" s="6"/>
      <c r="D539" s="6"/>
      <c r="E539" s="7"/>
      <c r="F539" s="7"/>
      <c r="G539" s="7"/>
      <c r="H539" s="7"/>
      <c r="O539" s="6"/>
      <c r="R539" s="7"/>
      <c r="S539" s="6"/>
      <c r="T539" s="6"/>
      <c r="U539" s="7"/>
      <c r="V539" s="7"/>
    </row>
    <row r="540" spans="3:22" x14ac:dyDescent="0.2">
      <c r="C540" s="6"/>
      <c r="D540" s="6"/>
      <c r="E540" s="7"/>
      <c r="F540" s="7"/>
      <c r="G540" s="7"/>
      <c r="H540" s="7"/>
      <c r="O540" s="6"/>
      <c r="R540" s="7"/>
      <c r="S540" s="6"/>
      <c r="T540" s="6"/>
      <c r="U540" s="7"/>
      <c r="V540" s="7"/>
    </row>
    <row r="541" spans="3:22" x14ac:dyDescent="0.2">
      <c r="C541" s="6"/>
      <c r="D541" s="6"/>
      <c r="E541" s="7"/>
      <c r="F541" s="7"/>
      <c r="G541" s="7"/>
      <c r="H541" s="7"/>
      <c r="O541" s="6"/>
      <c r="R541" s="7"/>
      <c r="S541" s="6"/>
      <c r="T541" s="6"/>
      <c r="U541" s="7"/>
      <c r="V541" s="7"/>
    </row>
    <row r="542" spans="3:22" x14ac:dyDescent="0.2">
      <c r="C542" s="6"/>
      <c r="D542" s="6"/>
      <c r="E542" s="7"/>
      <c r="F542" s="7"/>
      <c r="G542" s="7"/>
      <c r="H542" s="7"/>
      <c r="O542" s="6"/>
      <c r="R542" s="7"/>
      <c r="S542" s="6"/>
      <c r="T542" s="6"/>
      <c r="U542" s="7"/>
      <c r="V542" s="7"/>
    </row>
    <row r="543" spans="3:22" x14ac:dyDescent="0.2">
      <c r="C543" s="6"/>
      <c r="D543" s="6"/>
      <c r="E543" s="7"/>
      <c r="F543" s="7"/>
      <c r="G543" s="7"/>
      <c r="H543" s="7"/>
      <c r="O543" s="6"/>
      <c r="R543" s="7"/>
      <c r="S543" s="6"/>
      <c r="T543" s="6"/>
      <c r="U543" s="7"/>
      <c r="V543" s="7"/>
    </row>
    <row r="544" spans="3:22" x14ac:dyDescent="0.2">
      <c r="C544" s="6"/>
      <c r="D544" s="6"/>
      <c r="E544" s="7"/>
      <c r="F544" s="7"/>
      <c r="G544" s="7"/>
      <c r="H544" s="7"/>
      <c r="O544" s="6"/>
      <c r="R544" s="7"/>
      <c r="S544" s="6"/>
      <c r="T544" s="6"/>
      <c r="U544" s="7"/>
      <c r="V544" s="7"/>
    </row>
    <row r="545" spans="3:22" x14ac:dyDescent="0.2">
      <c r="C545" s="6"/>
      <c r="D545" s="6"/>
      <c r="E545" s="7"/>
      <c r="F545" s="7"/>
      <c r="G545" s="7"/>
      <c r="H545" s="7"/>
      <c r="O545" s="6"/>
      <c r="R545" s="7"/>
      <c r="S545" s="6"/>
      <c r="T545" s="6"/>
      <c r="U545" s="7"/>
      <c r="V545" s="7"/>
    </row>
    <row r="546" spans="3:22" x14ac:dyDescent="0.2">
      <c r="C546" s="6"/>
      <c r="D546" s="6"/>
      <c r="E546" s="7"/>
      <c r="F546" s="7"/>
      <c r="G546" s="7"/>
      <c r="H546" s="7"/>
      <c r="O546" s="6"/>
      <c r="R546" s="7"/>
      <c r="S546" s="6"/>
      <c r="T546" s="6"/>
      <c r="U546" s="7"/>
      <c r="V546" s="7"/>
    </row>
    <row r="547" spans="3:22" x14ac:dyDescent="0.2">
      <c r="C547" s="6"/>
      <c r="D547" s="6"/>
      <c r="E547" s="7"/>
      <c r="F547" s="7"/>
      <c r="G547" s="7"/>
      <c r="H547" s="7"/>
      <c r="O547" s="6"/>
      <c r="R547" s="7"/>
      <c r="S547" s="6"/>
      <c r="T547" s="6"/>
      <c r="U547" s="7"/>
      <c r="V547" s="7"/>
    </row>
    <row r="548" spans="3:22" x14ac:dyDescent="0.2">
      <c r="C548" s="6"/>
      <c r="D548" s="6"/>
      <c r="E548" s="7"/>
      <c r="F548" s="7"/>
      <c r="G548" s="7"/>
      <c r="H548" s="7"/>
      <c r="O548" s="6"/>
      <c r="R548" s="7"/>
      <c r="S548" s="6"/>
      <c r="T548" s="6"/>
      <c r="U548" s="7"/>
      <c r="V548" s="7"/>
    </row>
    <row r="549" spans="3:22" x14ac:dyDescent="0.2">
      <c r="C549" s="6"/>
      <c r="D549" s="6"/>
      <c r="E549" s="7"/>
      <c r="F549" s="7"/>
      <c r="G549" s="7"/>
      <c r="H549" s="7"/>
      <c r="O549" s="6"/>
      <c r="R549" s="7"/>
      <c r="S549" s="6"/>
      <c r="T549" s="6"/>
      <c r="U549" s="7"/>
      <c r="V549" s="7"/>
    </row>
    <row r="550" spans="3:22" x14ac:dyDescent="0.2">
      <c r="C550" s="6"/>
      <c r="D550" s="6"/>
      <c r="E550" s="7"/>
      <c r="F550" s="7"/>
      <c r="G550" s="7"/>
      <c r="H550" s="7"/>
      <c r="O550" s="6"/>
      <c r="R550" s="7"/>
      <c r="S550" s="6"/>
      <c r="T550" s="6"/>
      <c r="U550" s="7"/>
      <c r="V550" s="7"/>
    </row>
    <row r="551" spans="3:22" x14ac:dyDescent="0.2">
      <c r="C551" s="6"/>
      <c r="D551" s="6"/>
      <c r="E551" s="7"/>
      <c r="F551" s="7"/>
      <c r="G551" s="7"/>
      <c r="H551" s="7"/>
      <c r="O551" s="6"/>
      <c r="R551" s="7"/>
      <c r="S551" s="6"/>
      <c r="T551" s="6"/>
      <c r="U551" s="7"/>
      <c r="V551" s="7"/>
    </row>
    <row r="552" spans="3:22" x14ac:dyDescent="0.2">
      <c r="C552" s="6"/>
      <c r="D552" s="6"/>
      <c r="E552" s="7"/>
      <c r="F552" s="7"/>
      <c r="G552" s="7"/>
      <c r="H552" s="7"/>
      <c r="O552" s="6"/>
      <c r="R552" s="7"/>
      <c r="S552" s="6"/>
      <c r="T552" s="6"/>
      <c r="U552" s="7"/>
      <c r="V552" s="7"/>
    </row>
    <row r="553" spans="3:22" x14ac:dyDescent="0.2">
      <c r="C553" s="6"/>
      <c r="D553" s="6"/>
      <c r="E553" s="7"/>
      <c r="F553" s="7"/>
      <c r="G553" s="7"/>
      <c r="H553" s="7"/>
      <c r="O553" s="6"/>
      <c r="R553" s="7"/>
      <c r="S553" s="6"/>
      <c r="T553" s="6"/>
      <c r="U553" s="7"/>
      <c r="V553" s="7"/>
    </row>
    <row r="554" spans="3:22" x14ac:dyDescent="0.2">
      <c r="C554" s="6"/>
      <c r="D554" s="6"/>
      <c r="E554" s="7"/>
      <c r="F554" s="7"/>
      <c r="G554" s="7"/>
      <c r="H554" s="7"/>
      <c r="O554" s="6"/>
      <c r="R554" s="7"/>
      <c r="S554" s="6"/>
      <c r="T554" s="6"/>
      <c r="U554" s="7"/>
      <c r="V554" s="7"/>
    </row>
    <row r="555" spans="3:22" x14ac:dyDescent="0.2">
      <c r="C555" s="6"/>
      <c r="D555" s="6"/>
      <c r="E555" s="7"/>
      <c r="F555" s="7"/>
      <c r="G555" s="7"/>
      <c r="H555" s="7"/>
      <c r="O555" s="6"/>
      <c r="R555" s="7"/>
      <c r="S555" s="6"/>
      <c r="T555" s="6"/>
      <c r="U555" s="7"/>
      <c r="V555" s="7"/>
    </row>
    <row r="556" spans="3:22" x14ac:dyDescent="0.2">
      <c r="C556" s="6"/>
      <c r="D556" s="6"/>
      <c r="E556" s="7"/>
      <c r="F556" s="7"/>
      <c r="G556" s="7"/>
      <c r="H556" s="7"/>
      <c r="O556" s="6"/>
      <c r="R556" s="7"/>
      <c r="S556" s="6"/>
      <c r="T556" s="6"/>
      <c r="U556" s="7"/>
      <c r="V556" s="7"/>
    </row>
    <row r="557" spans="3:22" x14ac:dyDescent="0.2">
      <c r="C557" s="6"/>
      <c r="D557" s="6"/>
      <c r="E557" s="7"/>
      <c r="F557" s="7"/>
      <c r="G557" s="7"/>
      <c r="H557" s="7"/>
      <c r="O557" s="6"/>
      <c r="R557" s="7"/>
      <c r="S557" s="6"/>
      <c r="T557" s="6"/>
      <c r="U557" s="7"/>
      <c r="V557" s="7"/>
    </row>
    <row r="558" spans="3:22" x14ac:dyDescent="0.2">
      <c r="C558" s="6"/>
      <c r="D558" s="6"/>
      <c r="E558" s="7"/>
      <c r="F558" s="7"/>
      <c r="G558" s="7"/>
      <c r="H558" s="7"/>
      <c r="O558" s="6"/>
      <c r="R558" s="7"/>
      <c r="S558" s="6"/>
      <c r="T558" s="6"/>
      <c r="U558" s="7"/>
      <c r="V558" s="7"/>
    </row>
    <row r="559" spans="3:22" x14ac:dyDescent="0.2">
      <c r="C559" s="6"/>
      <c r="D559" s="6"/>
      <c r="E559" s="7"/>
      <c r="F559" s="7"/>
      <c r="G559" s="7"/>
      <c r="H559" s="7"/>
      <c r="O559" s="6"/>
      <c r="R559" s="7"/>
      <c r="S559" s="6"/>
      <c r="T559" s="6"/>
      <c r="U559" s="7"/>
      <c r="V559" s="7"/>
    </row>
    <row r="560" spans="3:22" x14ac:dyDescent="0.2">
      <c r="C560" s="6"/>
      <c r="D560" s="6"/>
      <c r="E560" s="7"/>
      <c r="F560" s="7"/>
      <c r="G560" s="7"/>
      <c r="H560" s="7"/>
      <c r="O560" s="6"/>
      <c r="R560" s="7"/>
      <c r="S560" s="6"/>
      <c r="T560" s="6"/>
      <c r="U560" s="7"/>
      <c r="V560" s="7"/>
    </row>
    <row r="561" spans="3:22" x14ac:dyDescent="0.2">
      <c r="C561" s="6"/>
      <c r="D561" s="6"/>
      <c r="E561" s="7"/>
      <c r="F561" s="7"/>
      <c r="G561" s="7"/>
      <c r="H561" s="7"/>
      <c r="O561" s="6"/>
      <c r="R561" s="7"/>
      <c r="S561" s="6"/>
      <c r="T561" s="6"/>
      <c r="U561" s="7"/>
      <c r="V561" s="7"/>
    </row>
    <row r="562" spans="3:22" x14ac:dyDescent="0.2">
      <c r="C562" s="6"/>
      <c r="D562" s="6"/>
      <c r="E562" s="7"/>
      <c r="F562" s="7"/>
      <c r="G562" s="7"/>
      <c r="H562" s="7"/>
      <c r="O562" s="6"/>
      <c r="R562" s="7"/>
      <c r="S562" s="6"/>
      <c r="T562" s="6"/>
      <c r="U562" s="7"/>
      <c r="V562" s="7"/>
    </row>
    <row r="563" spans="3:22" x14ac:dyDescent="0.2">
      <c r="C563" s="6"/>
      <c r="D563" s="6"/>
      <c r="E563" s="7"/>
      <c r="F563" s="7"/>
      <c r="G563" s="7"/>
      <c r="H563" s="7"/>
      <c r="O563" s="6"/>
      <c r="R563" s="7"/>
      <c r="S563" s="6"/>
      <c r="T563" s="6"/>
      <c r="U563" s="7"/>
      <c r="V563" s="7"/>
    </row>
    <row r="564" spans="3:22" x14ac:dyDescent="0.2">
      <c r="C564" s="6"/>
      <c r="D564" s="6"/>
      <c r="E564" s="7"/>
      <c r="F564" s="7"/>
      <c r="G564" s="7"/>
      <c r="H564" s="7"/>
      <c r="O564" s="6"/>
      <c r="R564" s="7"/>
      <c r="S564" s="6"/>
      <c r="T564" s="6"/>
      <c r="U564" s="7"/>
      <c r="V564" s="7"/>
    </row>
    <row r="565" spans="3:22" x14ac:dyDescent="0.2">
      <c r="C565" s="6"/>
      <c r="D565" s="6"/>
      <c r="E565" s="7"/>
      <c r="F565" s="7"/>
      <c r="G565" s="7"/>
      <c r="H565" s="7"/>
      <c r="O565" s="6"/>
      <c r="R565" s="7"/>
      <c r="S565" s="6"/>
      <c r="T565" s="6"/>
      <c r="U565" s="7"/>
      <c r="V565" s="7"/>
    </row>
    <row r="566" spans="3:22" x14ac:dyDescent="0.2">
      <c r="C566" s="6"/>
      <c r="D566" s="6"/>
      <c r="E566" s="7"/>
      <c r="F566" s="7"/>
      <c r="G566" s="7"/>
      <c r="H566" s="7"/>
      <c r="O566" s="6"/>
      <c r="R566" s="7"/>
      <c r="S566" s="6"/>
      <c r="T566" s="6"/>
      <c r="U566" s="7"/>
      <c r="V566" s="7"/>
    </row>
    <row r="567" spans="3:22" x14ac:dyDescent="0.2">
      <c r="C567" s="6"/>
      <c r="D567" s="6"/>
      <c r="E567" s="7"/>
      <c r="F567" s="7"/>
      <c r="G567" s="7"/>
      <c r="H567" s="7"/>
      <c r="O567" s="6"/>
      <c r="R567" s="7"/>
      <c r="S567" s="6"/>
      <c r="T567" s="6"/>
      <c r="U567" s="7"/>
      <c r="V567" s="7"/>
    </row>
    <row r="568" spans="3:22" x14ac:dyDescent="0.2">
      <c r="C568" s="6"/>
      <c r="D568" s="6"/>
      <c r="E568" s="7"/>
      <c r="F568" s="7"/>
      <c r="G568" s="7"/>
      <c r="H568" s="7"/>
      <c r="O568" s="6"/>
      <c r="R568" s="7"/>
      <c r="S568" s="6"/>
      <c r="T568" s="6"/>
      <c r="U568" s="7"/>
      <c r="V568" s="7"/>
    </row>
    <row r="569" spans="3:22" x14ac:dyDescent="0.2">
      <c r="C569" s="6"/>
      <c r="D569" s="6"/>
      <c r="E569" s="7"/>
      <c r="F569" s="7"/>
      <c r="G569" s="7"/>
      <c r="H569" s="7"/>
      <c r="O569" s="6"/>
      <c r="R569" s="7"/>
      <c r="S569" s="6"/>
      <c r="T569" s="6"/>
      <c r="U569" s="7"/>
      <c r="V569" s="7"/>
    </row>
    <row r="570" spans="3:22" x14ac:dyDescent="0.2">
      <c r="C570" s="6"/>
      <c r="D570" s="6"/>
      <c r="E570" s="7"/>
      <c r="F570" s="7"/>
      <c r="G570" s="7"/>
      <c r="H570" s="7"/>
      <c r="O570" s="6"/>
      <c r="R570" s="7"/>
      <c r="S570" s="6"/>
      <c r="T570" s="6"/>
      <c r="U570" s="7"/>
      <c r="V570" s="7"/>
    </row>
    <row r="571" spans="3:22" x14ac:dyDescent="0.2">
      <c r="C571" s="6"/>
      <c r="D571" s="6"/>
      <c r="E571" s="7"/>
      <c r="F571" s="7"/>
      <c r="G571" s="7"/>
      <c r="H571" s="7"/>
      <c r="O571" s="6"/>
      <c r="R571" s="7"/>
      <c r="S571" s="6"/>
      <c r="T571" s="6"/>
      <c r="U571" s="7"/>
      <c r="V571" s="7"/>
    </row>
    <row r="572" spans="3:22" x14ac:dyDescent="0.2">
      <c r="C572" s="6"/>
      <c r="D572" s="6"/>
      <c r="E572" s="7"/>
      <c r="F572" s="7"/>
      <c r="G572" s="7"/>
      <c r="H572" s="7"/>
      <c r="O572" s="6"/>
      <c r="R572" s="7"/>
      <c r="S572" s="6"/>
      <c r="T572" s="6"/>
      <c r="U572" s="7"/>
      <c r="V572" s="7"/>
    </row>
    <row r="573" spans="3:22" x14ac:dyDescent="0.2">
      <c r="C573" s="6"/>
      <c r="D573" s="6"/>
      <c r="E573" s="7"/>
      <c r="F573" s="7"/>
      <c r="G573" s="7"/>
      <c r="H573" s="7"/>
      <c r="O573" s="6"/>
      <c r="R573" s="7"/>
      <c r="S573" s="6"/>
      <c r="T573" s="6"/>
      <c r="U573" s="7"/>
      <c r="V573" s="7"/>
    </row>
    <row r="574" spans="3:22" x14ac:dyDescent="0.2">
      <c r="C574" s="6"/>
      <c r="D574" s="6"/>
      <c r="E574" s="7"/>
      <c r="F574" s="7"/>
      <c r="G574" s="7"/>
      <c r="H574" s="7"/>
      <c r="O574" s="6"/>
      <c r="R574" s="7"/>
      <c r="S574" s="6"/>
      <c r="T574" s="6"/>
      <c r="U574" s="7"/>
      <c r="V574" s="7"/>
    </row>
    <row r="575" spans="3:22" x14ac:dyDescent="0.2">
      <c r="C575" s="6"/>
      <c r="D575" s="6"/>
      <c r="E575" s="7"/>
      <c r="F575" s="7"/>
      <c r="G575" s="7"/>
      <c r="H575" s="7"/>
      <c r="O575" s="6"/>
      <c r="R575" s="7"/>
      <c r="S575" s="6"/>
      <c r="T575" s="6"/>
      <c r="U575" s="7"/>
      <c r="V575" s="7"/>
    </row>
    <row r="576" spans="3:22" x14ac:dyDescent="0.2">
      <c r="C576" s="6"/>
      <c r="D576" s="6"/>
      <c r="E576" s="7"/>
      <c r="F576" s="7"/>
      <c r="G576" s="7"/>
      <c r="H576" s="7"/>
      <c r="O576" s="6"/>
      <c r="R576" s="7"/>
      <c r="S576" s="6"/>
      <c r="T576" s="6"/>
      <c r="U576" s="7"/>
      <c r="V576" s="7"/>
    </row>
    <row r="577" spans="3:22" x14ac:dyDescent="0.2">
      <c r="C577" s="6"/>
      <c r="D577" s="6"/>
      <c r="E577" s="7"/>
      <c r="F577" s="7"/>
      <c r="G577" s="7"/>
      <c r="H577" s="7"/>
      <c r="O577" s="6"/>
      <c r="R577" s="7"/>
      <c r="S577" s="6"/>
      <c r="T577" s="6"/>
      <c r="U577" s="7"/>
      <c r="V577" s="7"/>
    </row>
    <row r="578" spans="3:22" x14ac:dyDescent="0.2">
      <c r="C578" s="6"/>
      <c r="D578" s="6"/>
      <c r="E578" s="7"/>
      <c r="F578" s="7"/>
      <c r="G578" s="7"/>
      <c r="H578" s="7"/>
      <c r="O578" s="6"/>
      <c r="R578" s="7"/>
      <c r="S578" s="6"/>
      <c r="T578" s="6"/>
      <c r="U578" s="7"/>
      <c r="V578" s="7"/>
    </row>
    <row r="579" spans="3:22" x14ac:dyDescent="0.2">
      <c r="C579" s="6"/>
      <c r="D579" s="6"/>
      <c r="E579" s="7"/>
      <c r="F579" s="7"/>
      <c r="G579" s="7"/>
      <c r="H579" s="7"/>
      <c r="O579" s="6"/>
      <c r="R579" s="7"/>
      <c r="S579" s="6"/>
      <c r="T579" s="6"/>
      <c r="U579" s="7"/>
      <c r="V579" s="7"/>
    </row>
    <row r="580" spans="3:22" x14ac:dyDescent="0.2">
      <c r="C580" s="6"/>
      <c r="D580" s="6"/>
      <c r="E580" s="7"/>
      <c r="F580" s="7"/>
      <c r="G580" s="7"/>
      <c r="H580" s="7"/>
      <c r="O580" s="6"/>
      <c r="R580" s="7"/>
      <c r="S580" s="6"/>
      <c r="T580" s="6"/>
      <c r="U580" s="7"/>
      <c r="V580" s="7"/>
    </row>
    <row r="581" spans="3:22" x14ac:dyDescent="0.2">
      <c r="C581" s="6"/>
      <c r="D581" s="6"/>
      <c r="E581" s="7"/>
      <c r="F581" s="7"/>
      <c r="G581" s="7"/>
      <c r="H581" s="7"/>
      <c r="O581" s="6"/>
      <c r="R581" s="7"/>
      <c r="S581" s="6"/>
      <c r="T581" s="6"/>
      <c r="U581" s="7"/>
      <c r="V581" s="7"/>
    </row>
    <row r="582" spans="3:22" x14ac:dyDescent="0.2">
      <c r="C582" s="6"/>
      <c r="D582" s="6"/>
      <c r="E582" s="7"/>
      <c r="F582" s="7"/>
      <c r="G582" s="7"/>
      <c r="H582" s="7"/>
      <c r="O582" s="6"/>
      <c r="R582" s="7"/>
      <c r="S582" s="6"/>
      <c r="T582" s="6"/>
      <c r="U582" s="7"/>
      <c r="V582" s="7"/>
    </row>
    <row r="583" spans="3:22" x14ac:dyDescent="0.2">
      <c r="C583" s="6"/>
      <c r="D583" s="6"/>
      <c r="E583" s="7"/>
      <c r="F583" s="7"/>
      <c r="G583" s="7"/>
      <c r="H583" s="7"/>
      <c r="O583" s="6"/>
      <c r="R583" s="7"/>
      <c r="S583" s="6"/>
      <c r="T583" s="6"/>
      <c r="U583" s="7"/>
      <c r="V583" s="7"/>
    </row>
    <row r="584" spans="3:22" x14ac:dyDescent="0.2">
      <c r="C584" s="6"/>
      <c r="D584" s="6"/>
      <c r="E584" s="7"/>
      <c r="F584" s="7"/>
      <c r="G584" s="7"/>
      <c r="H584" s="7"/>
      <c r="O584" s="6"/>
      <c r="R584" s="7"/>
      <c r="S584" s="6"/>
      <c r="T584" s="6"/>
      <c r="U584" s="7"/>
      <c r="V584" s="7"/>
    </row>
    <row r="585" spans="3:22" x14ac:dyDescent="0.2">
      <c r="C585" s="6"/>
      <c r="D585" s="6"/>
      <c r="E585" s="7"/>
      <c r="F585" s="7"/>
      <c r="G585" s="7"/>
      <c r="H585" s="7"/>
      <c r="O585" s="6"/>
      <c r="R585" s="7"/>
      <c r="S585" s="6"/>
      <c r="T585" s="6"/>
      <c r="U585" s="7"/>
      <c r="V585" s="7"/>
    </row>
    <row r="586" spans="3:22" x14ac:dyDescent="0.2">
      <c r="C586" s="6"/>
      <c r="D586" s="6"/>
      <c r="E586" s="7"/>
      <c r="F586" s="7"/>
      <c r="G586" s="7"/>
      <c r="H586" s="7"/>
      <c r="O586" s="6"/>
      <c r="R586" s="7"/>
      <c r="S586" s="6"/>
      <c r="T586" s="6"/>
      <c r="U586" s="7"/>
      <c r="V586" s="7"/>
    </row>
    <row r="587" spans="3:22" x14ac:dyDescent="0.2">
      <c r="C587" s="6"/>
      <c r="D587" s="6"/>
      <c r="E587" s="7"/>
      <c r="F587" s="7"/>
      <c r="G587" s="7"/>
      <c r="H587" s="7"/>
      <c r="O587" s="6"/>
      <c r="R587" s="7"/>
      <c r="S587" s="6"/>
      <c r="T587" s="6"/>
      <c r="U587" s="7"/>
      <c r="V587" s="7"/>
    </row>
    <row r="588" spans="3:22" x14ac:dyDescent="0.2">
      <c r="C588" s="6"/>
      <c r="D588" s="6"/>
      <c r="E588" s="7"/>
      <c r="F588" s="7"/>
      <c r="G588" s="7"/>
      <c r="H588" s="7"/>
      <c r="O588" s="6"/>
      <c r="R588" s="7"/>
      <c r="S588" s="6"/>
      <c r="T588" s="6"/>
      <c r="U588" s="7"/>
      <c r="V588" s="7"/>
    </row>
    <row r="589" spans="3:22" x14ac:dyDescent="0.2">
      <c r="C589" s="6"/>
      <c r="D589" s="6"/>
      <c r="E589" s="7"/>
      <c r="F589" s="7"/>
      <c r="G589" s="7"/>
      <c r="H589" s="7"/>
      <c r="O589" s="6"/>
      <c r="R589" s="7"/>
      <c r="S589" s="6"/>
      <c r="T589" s="6"/>
      <c r="U589" s="7"/>
      <c r="V589" s="7"/>
    </row>
    <row r="590" spans="3:22" x14ac:dyDescent="0.2">
      <c r="C590" s="6"/>
      <c r="D590" s="6"/>
      <c r="E590" s="7"/>
      <c r="F590" s="7"/>
      <c r="G590" s="7"/>
      <c r="H590" s="7"/>
      <c r="O590" s="6"/>
      <c r="R590" s="7"/>
      <c r="S590" s="6"/>
      <c r="T590" s="6"/>
      <c r="U590" s="7"/>
      <c r="V590" s="7"/>
    </row>
    <row r="591" spans="3:22" x14ac:dyDescent="0.2">
      <c r="C591" s="6"/>
      <c r="D591" s="6"/>
      <c r="E591" s="7"/>
      <c r="F591" s="7"/>
      <c r="G591" s="7"/>
      <c r="H591" s="7"/>
      <c r="O591" s="6"/>
      <c r="R591" s="7"/>
      <c r="S591" s="6"/>
      <c r="T591" s="6"/>
      <c r="U591" s="7"/>
      <c r="V591" s="7"/>
    </row>
    <row r="592" spans="3:22" x14ac:dyDescent="0.2">
      <c r="C592" s="6"/>
      <c r="D592" s="6"/>
      <c r="E592" s="7"/>
      <c r="F592" s="7"/>
      <c r="G592" s="7"/>
      <c r="H592" s="7"/>
      <c r="O592" s="6"/>
      <c r="R592" s="7"/>
      <c r="S592" s="6"/>
      <c r="T592" s="6"/>
      <c r="U592" s="7"/>
      <c r="V592" s="7"/>
    </row>
    <row r="593" spans="3:22" x14ac:dyDescent="0.2">
      <c r="C593" s="6"/>
      <c r="D593" s="6"/>
      <c r="E593" s="7"/>
      <c r="F593" s="7"/>
      <c r="G593" s="7"/>
      <c r="H593" s="7"/>
      <c r="O593" s="6"/>
      <c r="R593" s="7"/>
      <c r="S593" s="6"/>
      <c r="T593" s="6"/>
      <c r="U593" s="7"/>
      <c r="V593" s="7"/>
    </row>
    <row r="594" spans="3:22" x14ac:dyDescent="0.2">
      <c r="C594" s="6"/>
      <c r="D594" s="6"/>
      <c r="E594" s="7"/>
      <c r="F594" s="7"/>
      <c r="G594" s="7"/>
      <c r="H594" s="7"/>
      <c r="O594" s="6"/>
      <c r="R594" s="7"/>
      <c r="S594" s="6"/>
      <c r="T594" s="6"/>
      <c r="U594" s="7"/>
      <c r="V594" s="7"/>
    </row>
    <row r="595" spans="3:22" x14ac:dyDescent="0.2">
      <c r="C595" s="6"/>
      <c r="D595" s="6"/>
      <c r="E595" s="7"/>
      <c r="F595" s="7"/>
      <c r="G595" s="7"/>
      <c r="H595" s="7"/>
      <c r="O595" s="6"/>
      <c r="R595" s="7"/>
      <c r="S595" s="6"/>
      <c r="T595" s="6"/>
      <c r="U595" s="7"/>
      <c r="V595" s="7"/>
    </row>
    <row r="596" spans="3:22" x14ac:dyDescent="0.2">
      <c r="C596" s="6"/>
      <c r="D596" s="6"/>
      <c r="E596" s="7"/>
      <c r="F596" s="7"/>
      <c r="G596" s="7"/>
      <c r="H596" s="7"/>
      <c r="O596" s="6"/>
      <c r="R596" s="7"/>
      <c r="S596" s="6"/>
      <c r="T596" s="6"/>
      <c r="U596" s="7"/>
      <c r="V596" s="7"/>
    </row>
    <row r="597" spans="3:22" x14ac:dyDescent="0.2">
      <c r="C597" s="6"/>
      <c r="D597" s="6"/>
      <c r="E597" s="7"/>
      <c r="F597" s="7"/>
      <c r="G597" s="7"/>
      <c r="H597" s="7"/>
      <c r="O597" s="6"/>
      <c r="R597" s="7"/>
      <c r="S597" s="6"/>
      <c r="T597" s="6"/>
      <c r="U597" s="7"/>
      <c r="V597" s="7"/>
    </row>
    <row r="598" spans="3:22" x14ac:dyDescent="0.2">
      <c r="C598" s="6"/>
      <c r="D598" s="6"/>
      <c r="E598" s="7"/>
      <c r="F598" s="7"/>
      <c r="G598" s="7"/>
      <c r="H598" s="7"/>
      <c r="O598" s="6"/>
      <c r="R598" s="7"/>
      <c r="S598" s="6"/>
      <c r="T598" s="6"/>
      <c r="U598" s="7"/>
      <c r="V598" s="7"/>
    </row>
    <row r="599" spans="3:22" x14ac:dyDescent="0.2">
      <c r="C599" s="6"/>
      <c r="D599" s="6"/>
      <c r="E599" s="7"/>
      <c r="F599" s="7"/>
      <c r="G599" s="7"/>
      <c r="H599" s="7"/>
      <c r="O599" s="6"/>
      <c r="R599" s="7"/>
      <c r="S599" s="6"/>
      <c r="T599" s="6"/>
      <c r="U599" s="7"/>
      <c r="V599" s="7"/>
    </row>
    <row r="600" spans="3:22" x14ac:dyDescent="0.2">
      <c r="C600" s="6"/>
      <c r="D600" s="6"/>
      <c r="E600" s="7"/>
      <c r="F600" s="7"/>
      <c r="G600" s="7"/>
      <c r="H600" s="7"/>
      <c r="O600" s="6"/>
      <c r="R600" s="7"/>
      <c r="S600" s="6"/>
      <c r="T600" s="6"/>
      <c r="U600" s="7"/>
      <c r="V600" s="7"/>
    </row>
    <row r="601" spans="3:22" x14ac:dyDescent="0.2">
      <c r="C601" s="6"/>
      <c r="D601" s="6"/>
      <c r="E601" s="7"/>
      <c r="F601" s="7"/>
      <c r="G601" s="7"/>
      <c r="H601" s="7"/>
      <c r="O601" s="6"/>
      <c r="R601" s="7"/>
      <c r="S601" s="6"/>
      <c r="T601" s="6"/>
      <c r="U601" s="7"/>
      <c r="V601" s="7"/>
    </row>
    <row r="602" spans="3:22" x14ac:dyDescent="0.2">
      <c r="C602" s="6"/>
      <c r="D602" s="6"/>
      <c r="E602" s="7"/>
      <c r="F602" s="7"/>
      <c r="G602" s="7"/>
      <c r="H602" s="7"/>
      <c r="O602" s="6"/>
      <c r="R602" s="7"/>
      <c r="S602" s="6"/>
      <c r="T602" s="6"/>
      <c r="U602" s="7"/>
      <c r="V602" s="7"/>
    </row>
    <row r="603" spans="3:22" x14ac:dyDescent="0.2">
      <c r="C603" s="6"/>
      <c r="D603" s="6"/>
      <c r="E603" s="7"/>
      <c r="F603" s="7"/>
      <c r="G603" s="7"/>
      <c r="H603" s="7"/>
      <c r="O603" s="6"/>
      <c r="R603" s="7"/>
      <c r="S603" s="6"/>
      <c r="T603" s="6"/>
      <c r="U603" s="7"/>
      <c r="V603" s="7"/>
    </row>
    <row r="604" spans="3:22" x14ac:dyDescent="0.2">
      <c r="C604" s="6"/>
      <c r="D604" s="6"/>
      <c r="E604" s="7"/>
      <c r="F604" s="7"/>
      <c r="G604" s="7"/>
      <c r="H604" s="7"/>
      <c r="O604" s="6"/>
      <c r="R604" s="7"/>
      <c r="S604" s="6"/>
      <c r="T604" s="6"/>
      <c r="U604" s="7"/>
      <c r="V604" s="7"/>
    </row>
    <row r="605" spans="3:22" x14ac:dyDescent="0.2">
      <c r="C605" s="6"/>
      <c r="D605" s="6"/>
      <c r="E605" s="7"/>
      <c r="F605" s="7"/>
      <c r="G605" s="7"/>
      <c r="H605" s="7"/>
      <c r="O605" s="6"/>
      <c r="R605" s="7"/>
      <c r="S605" s="6"/>
      <c r="T605" s="6"/>
      <c r="U605" s="7"/>
      <c r="V605" s="7"/>
    </row>
    <row r="606" spans="3:22" x14ac:dyDescent="0.2">
      <c r="C606" s="6"/>
      <c r="D606" s="6"/>
      <c r="E606" s="7"/>
      <c r="F606" s="7"/>
      <c r="G606" s="7"/>
      <c r="H606" s="7"/>
      <c r="O606" s="6"/>
      <c r="R606" s="7"/>
      <c r="S606" s="6"/>
      <c r="T606" s="6"/>
      <c r="U606" s="7"/>
      <c r="V606" s="7"/>
    </row>
    <row r="607" spans="3:22" x14ac:dyDescent="0.2">
      <c r="C607" s="6"/>
      <c r="D607" s="6"/>
      <c r="E607" s="7"/>
      <c r="F607" s="7"/>
      <c r="G607" s="7"/>
      <c r="H607" s="7"/>
      <c r="O607" s="6"/>
      <c r="R607" s="7"/>
      <c r="S607" s="6"/>
      <c r="T607" s="6"/>
      <c r="U607" s="7"/>
      <c r="V607" s="7"/>
    </row>
    <row r="608" spans="3:22" x14ac:dyDescent="0.2">
      <c r="C608" s="6"/>
      <c r="D608" s="6"/>
      <c r="E608" s="7"/>
      <c r="F608" s="7"/>
      <c r="G608" s="7"/>
      <c r="H608" s="7"/>
      <c r="O608" s="6"/>
      <c r="R608" s="7"/>
      <c r="S608" s="6"/>
      <c r="T608" s="6"/>
      <c r="U608" s="7"/>
      <c r="V608" s="7"/>
    </row>
    <row r="609" spans="3:22" x14ac:dyDescent="0.2">
      <c r="C609" s="6"/>
      <c r="D609" s="6"/>
      <c r="E609" s="7"/>
      <c r="F609" s="7"/>
      <c r="G609" s="7"/>
      <c r="H609" s="7"/>
      <c r="O609" s="6"/>
      <c r="R609" s="7"/>
      <c r="S609" s="6"/>
      <c r="T609" s="6"/>
      <c r="U609" s="7"/>
      <c r="V609" s="7"/>
    </row>
    <row r="610" spans="3:22" x14ac:dyDescent="0.2">
      <c r="C610" s="6"/>
      <c r="D610" s="6"/>
      <c r="E610" s="7"/>
      <c r="F610" s="7"/>
      <c r="G610" s="7"/>
      <c r="H610" s="7"/>
      <c r="O610" s="6"/>
      <c r="R610" s="7"/>
      <c r="S610" s="6"/>
      <c r="T610" s="6"/>
      <c r="U610" s="7"/>
      <c r="V610" s="7"/>
    </row>
    <row r="611" spans="3:22" x14ac:dyDescent="0.2">
      <c r="C611" s="6"/>
      <c r="D611" s="6"/>
      <c r="E611" s="7"/>
      <c r="F611" s="7"/>
      <c r="G611" s="7"/>
      <c r="H611" s="7"/>
      <c r="O611" s="6"/>
      <c r="R611" s="7"/>
      <c r="S611" s="6"/>
      <c r="T611" s="6"/>
      <c r="U611" s="7"/>
      <c r="V611" s="7"/>
    </row>
    <row r="612" spans="3:22" x14ac:dyDescent="0.2">
      <c r="C612" s="6"/>
      <c r="D612" s="6"/>
      <c r="E612" s="7"/>
      <c r="F612" s="7"/>
      <c r="G612" s="7"/>
      <c r="H612" s="7"/>
      <c r="O612" s="6"/>
      <c r="R612" s="7"/>
      <c r="S612" s="6"/>
      <c r="T612" s="6"/>
      <c r="U612" s="7"/>
      <c r="V612" s="7"/>
    </row>
    <row r="613" spans="3:22" x14ac:dyDescent="0.2">
      <c r="C613" s="6"/>
      <c r="D613" s="6"/>
      <c r="E613" s="7"/>
      <c r="F613" s="7"/>
      <c r="G613" s="7"/>
      <c r="H613" s="7"/>
      <c r="O613" s="6"/>
      <c r="R613" s="7"/>
      <c r="S613" s="6"/>
      <c r="T613" s="6"/>
      <c r="U613" s="7"/>
      <c r="V613" s="7"/>
    </row>
    <row r="614" spans="3:22" x14ac:dyDescent="0.2">
      <c r="C614" s="6"/>
      <c r="D614" s="6"/>
      <c r="E614" s="7"/>
      <c r="F614" s="7"/>
      <c r="G614" s="7"/>
      <c r="H614" s="7"/>
      <c r="O614" s="6"/>
      <c r="R614" s="7"/>
      <c r="S614" s="6"/>
      <c r="T614" s="6"/>
      <c r="U614" s="7"/>
      <c r="V614" s="7"/>
    </row>
    <row r="615" spans="3:22" x14ac:dyDescent="0.2">
      <c r="C615" s="6"/>
      <c r="D615" s="6"/>
      <c r="E615" s="7"/>
      <c r="F615" s="7"/>
      <c r="G615" s="7"/>
      <c r="H615" s="7"/>
      <c r="O615" s="6"/>
      <c r="R615" s="7"/>
      <c r="S615" s="6"/>
      <c r="T615" s="6"/>
      <c r="U615" s="7"/>
      <c r="V615" s="7"/>
    </row>
    <row r="616" spans="3:22" x14ac:dyDescent="0.2">
      <c r="C616" s="6"/>
      <c r="D616" s="6"/>
      <c r="E616" s="7"/>
      <c r="F616" s="7"/>
      <c r="G616" s="7"/>
      <c r="H616" s="7"/>
      <c r="O616" s="6"/>
      <c r="R616" s="7"/>
      <c r="S616" s="6"/>
      <c r="T616" s="6"/>
      <c r="U616" s="7"/>
      <c r="V616" s="7"/>
    </row>
    <row r="617" spans="3:22" x14ac:dyDescent="0.2">
      <c r="C617" s="6"/>
      <c r="D617" s="6"/>
      <c r="E617" s="7"/>
      <c r="F617" s="7"/>
      <c r="G617" s="7"/>
      <c r="H617" s="7"/>
      <c r="O617" s="6"/>
      <c r="R617" s="7"/>
      <c r="S617" s="6"/>
      <c r="T617" s="6"/>
      <c r="U617" s="7"/>
      <c r="V617" s="7"/>
    </row>
    <row r="618" spans="3:22" x14ac:dyDescent="0.2">
      <c r="C618" s="6"/>
      <c r="D618" s="6"/>
      <c r="E618" s="7"/>
      <c r="F618" s="7"/>
      <c r="G618" s="7"/>
      <c r="H618" s="7"/>
      <c r="O618" s="6"/>
      <c r="R618" s="7"/>
      <c r="S618" s="6"/>
      <c r="T618" s="6"/>
      <c r="U618" s="7"/>
      <c r="V618" s="7"/>
    </row>
    <row r="619" spans="3:22" x14ac:dyDescent="0.2">
      <c r="C619" s="6"/>
      <c r="D619" s="6"/>
      <c r="E619" s="7"/>
      <c r="F619" s="7"/>
      <c r="G619" s="7"/>
      <c r="H619" s="7"/>
      <c r="O619" s="6"/>
      <c r="R619" s="7"/>
      <c r="S619" s="6"/>
      <c r="T619" s="6"/>
      <c r="U619" s="7"/>
      <c r="V619" s="7"/>
    </row>
    <row r="620" spans="3:22" x14ac:dyDescent="0.2">
      <c r="C620" s="6"/>
      <c r="D620" s="6"/>
      <c r="E620" s="7"/>
      <c r="F620" s="7"/>
      <c r="G620" s="7"/>
      <c r="H620" s="7"/>
      <c r="O620" s="6"/>
      <c r="R620" s="7"/>
      <c r="S620" s="6"/>
      <c r="T620" s="6"/>
      <c r="U620" s="7"/>
      <c r="V620" s="7"/>
    </row>
    <row r="621" spans="3:22" x14ac:dyDescent="0.2">
      <c r="C621" s="6"/>
      <c r="D621" s="6"/>
      <c r="E621" s="7"/>
      <c r="F621" s="7"/>
      <c r="G621" s="7"/>
      <c r="H621" s="7"/>
      <c r="O621" s="6"/>
      <c r="R621" s="7"/>
      <c r="S621" s="6"/>
      <c r="T621" s="6"/>
      <c r="U621" s="7"/>
      <c r="V621" s="7"/>
    </row>
    <row r="622" spans="3:22" x14ac:dyDescent="0.2">
      <c r="C622" s="6"/>
      <c r="D622" s="6"/>
      <c r="E622" s="7"/>
      <c r="F622" s="7"/>
      <c r="G622" s="7"/>
      <c r="H622" s="7"/>
      <c r="O622" s="6"/>
      <c r="R622" s="7"/>
      <c r="S622" s="6"/>
      <c r="T622" s="6"/>
      <c r="U622" s="7"/>
      <c r="V622" s="7"/>
    </row>
    <row r="623" spans="3:22" x14ac:dyDescent="0.2">
      <c r="C623" s="6"/>
      <c r="D623" s="6"/>
      <c r="E623" s="7"/>
      <c r="F623" s="7"/>
      <c r="G623" s="7"/>
      <c r="H623" s="7"/>
      <c r="O623" s="6"/>
      <c r="R623" s="7"/>
      <c r="S623" s="6"/>
      <c r="T623" s="6"/>
      <c r="U623" s="7"/>
      <c r="V623" s="7"/>
    </row>
    <row r="624" spans="3:22" x14ac:dyDescent="0.2">
      <c r="C624" s="6"/>
      <c r="D624" s="6"/>
      <c r="E624" s="7"/>
      <c r="F624" s="7"/>
      <c r="G624" s="7"/>
      <c r="H624" s="7"/>
      <c r="O624" s="6"/>
      <c r="R624" s="7"/>
      <c r="S624" s="6"/>
      <c r="T624" s="6"/>
      <c r="U624" s="7"/>
      <c r="V624" s="7"/>
    </row>
    <row r="625" spans="3:22" x14ac:dyDescent="0.2">
      <c r="C625" s="6"/>
      <c r="D625" s="6"/>
      <c r="E625" s="7"/>
      <c r="F625" s="7"/>
      <c r="G625" s="7"/>
      <c r="H625" s="7"/>
      <c r="O625" s="6"/>
      <c r="R625" s="7"/>
      <c r="S625" s="6"/>
      <c r="T625" s="6"/>
      <c r="U625" s="7"/>
      <c r="V625" s="7"/>
    </row>
    <row r="626" spans="3:22" x14ac:dyDescent="0.2">
      <c r="C626" s="6"/>
      <c r="D626" s="6"/>
      <c r="E626" s="7"/>
      <c r="F626" s="7"/>
      <c r="G626" s="7"/>
      <c r="H626" s="7"/>
      <c r="O626" s="6"/>
      <c r="R626" s="7"/>
      <c r="S626" s="6"/>
      <c r="T626" s="6"/>
      <c r="U626" s="7"/>
      <c r="V626" s="7"/>
    </row>
    <row r="627" spans="3:22" x14ac:dyDescent="0.2">
      <c r="C627" s="6"/>
      <c r="D627" s="6"/>
      <c r="E627" s="7"/>
      <c r="F627" s="7"/>
      <c r="G627" s="7"/>
      <c r="H627" s="7"/>
      <c r="O627" s="6"/>
      <c r="R627" s="7"/>
      <c r="S627" s="6"/>
      <c r="T627" s="6"/>
      <c r="U627" s="7"/>
      <c r="V627" s="7"/>
    </row>
    <row r="628" spans="3:22" x14ac:dyDescent="0.2">
      <c r="C628" s="6"/>
      <c r="D628" s="6"/>
      <c r="E628" s="7"/>
      <c r="F628" s="7"/>
      <c r="G628" s="7"/>
      <c r="H628" s="7"/>
      <c r="O628" s="6"/>
      <c r="R628" s="7"/>
      <c r="S628" s="6"/>
      <c r="T628" s="6"/>
      <c r="U628" s="7"/>
      <c r="V628" s="7"/>
    </row>
    <row r="629" spans="3:22" x14ac:dyDescent="0.2">
      <c r="C629" s="6"/>
      <c r="D629" s="6"/>
      <c r="E629" s="7"/>
      <c r="F629" s="7"/>
      <c r="G629" s="7"/>
      <c r="H629" s="7"/>
      <c r="O629" s="6"/>
      <c r="R629" s="7"/>
      <c r="S629" s="6"/>
      <c r="T629" s="6"/>
      <c r="U629" s="7"/>
      <c r="V629" s="7"/>
    </row>
    <row r="630" spans="3:22" x14ac:dyDescent="0.2">
      <c r="C630" s="6"/>
      <c r="D630" s="6"/>
      <c r="E630" s="7"/>
      <c r="F630" s="7"/>
      <c r="G630" s="7"/>
      <c r="H630" s="7"/>
      <c r="O630" s="6"/>
      <c r="R630" s="7"/>
      <c r="S630" s="6"/>
      <c r="T630" s="6"/>
      <c r="U630" s="7"/>
      <c r="V630" s="7"/>
    </row>
    <row r="631" spans="3:22" x14ac:dyDescent="0.2">
      <c r="C631" s="6"/>
      <c r="D631" s="6"/>
      <c r="E631" s="7"/>
      <c r="F631" s="7"/>
      <c r="G631" s="7"/>
      <c r="H631" s="7"/>
      <c r="O631" s="6"/>
      <c r="R631" s="7"/>
      <c r="S631" s="6"/>
      <c r="T631" s="6"/>
      <c r="U631" s="7"/>
      <c r="V631" s="7"/>
    </row>
    <row r="632" spans="3:22" x14ac:dyDescent="0.2">
      <c r="C632" s="6"/>
      <c r="D632" s="6"/>
      <c r="E632" s="7"/>
      <c r="F632" s="7"/>
      <c r="G632" s="7"/>
      <c r="H632" s="7"/>
      <c r="O632" s="6"/>
      <c r="R632" s="7"/>
      <c r="S632" s="6"/>
      <c r="T632" s="6"/>
      <c r="U632" s="7"/>
      <c r="V632" s="7"/>
    </row>
    <row r="633" spans="3:22" x14ac:dyDescent="0.2">
      <c r="C633" s="6"/>
      <c r="D633" s="6"/>
      <c r="E633" s="7"/>
      <c r="F633" s="7"/>
      <c r="G633" s="7"/>
      <c r="H633" s="7"/>
      <c r="O633" s="6"/>
      <c r="R633" s="7"/>
      <c r="S633" s="6"/>
      <c r="T633" s="6"/>
      <c r="U633" s="7"/>
      <c r="V633" s="7"/>
    </row>
    <row r="634" spans="3:22" x14ac:dyDescent="0.2">
      <c r="C634" s="6"/>
      <c r="D634" s="6"/>
      <c r="E634" s="7"/>
      <c r="F634" s="7"/>
      <c r="G634" s="7"/>
      <c r="H634" s="7"/>
      <c r="O634" s="6"/>
      <c r="R634" s="7"/>
      <c r="S634" s="6"/>
      <c r="T634" s="6"/>
      <c r="U634" s="7"/>
      <c r="V634" s="7"/>
    </row>
    <row r="635" spans="3:22" x14ac:dyDescent="0.2">
      <c r="C635" s="6"/>
      <c r="D635" s="6"/>
      <c r="E635" s="7"/>
      <c r="F635" s="7"/>
      <c r="G635" s="7"/>
      <c r="H635" s="7"/>
      <c r="O635" s="6"/>
      <c r="R635" s="7"/>
      <c r="S635" s="6"/>
      <c r="T635" s="6"/>
      <c r="U635" s="7"/>
      <c r="V635" s="7"/>
    </row>
    <row r="636" spans="3:22" x14ac:dyDescent="0.2">
      <c r="C636" s="6"/>
      <c r="D636" s="6"/>
      <c r="E636" s="7"/>
      <c r="F636" s="7"/>
      <c r="G636" s="7"/>
      <c r="H636" s="7"/>
      <c r="O636" s="6"/>
      <c r="R636" s="7"/>
      <c r="S636" s="6"/>
      <c r="T636" s="6"/>
      <c r="U636" s="7"/>
      <c r="V636" s="7"/>
    </row>
    <row r="637" spans="3:22" x14ac:dyDescent="0.2">
      <c r="C637" s="6"/>
      <c r="D637" s="6"/>
      <c r="E637" s="7"/>
      <c r="F637" s="7"/>
      <c r="G637" s="7"/>
      <c r="H637" s="7"/>
      <c r="O637" s="6"/>
      <c r="R637" s="7"/>
      <c r="S637" s="6"/>
      <c r="T637" s="6"/>
      <c r="U637" s="7"/>
      <c r="V637" s="7"/>
    </row>
    <row r="638" spans="3:22" x14ac:dyDescent="0.2">
      <c r="C638" s="6"/>
      <c r="D638" s="6"/>
      <c r="E638" s="7"/>
      <c r="F638" s="7"/>
      <c r="G638" s="7"/>
      <c r="H638" s="7"/>
      <c r="O638" s="6"/>
      <c r="R638" s="7"/>
      <c r="S638" s="6"/>
      <c r="T638" s="6"/>
      <c r="U638" s="7"/>
      <c r="V638" s="7"/>
    </row>
    <row r="639" spans="3:22" x14ac:dyDescent="0.2">
      <c r="C639" s="6"/>
      <c r="D639" s="6"/>
      <c r="E639" s="7"/>
      <c r="F639" s="7"/>
      <c r="G639" s="7"/>
      <c r="H639" s="7"/>
      <c r="O639" s="6"/>
      <c r="R639" s="7"/>
      <c r="S639" s="6"/>
      <c r="T639" s="6"/>
      <c r="U639" s="7"/>
      <c r="V639" s="7"/>
    </row>
    <row r="640" spans="3:22" x14ac:dyDescent="0.2">
      <c r="C640" s="6"/>
      <c r="D640" s="6"/>
      <c r="E640" s="7"/>
      <c r="F640" s="7"/>
      <c r="G640" s="7"/>
      <c r="H640" s="7"/>
      <c r="O640" s="6"/>
      <c r="R640" s="7"/>
      <c r="S640" s="6"/>
      <c r="T640" s="6"/>
      <c r="U640" s="7"/>
      <c r="V640" s="7"/>
    </row>
    <row r="641" spans="3:22" x14ac:dyDescent="0.2">
      <c r="C641" s="6"/>
      <c r="D641" s="6"/>
      <c r="E641" s="7"/>
      <c r="F641" s="7"/>
      <c r="G641" s="7"/>
      <c r="H641" s="7"/>
      <c r="O641" s="6"/>
      <c r="R641" s="7"/>
      <c r="S641" s="6"/>
      <c r="T641" s="6"/>
      <c r="U641" s="7"/>
      <c r="V641" s="7"/>
    </row>
    <row r="642" spans="3:22" x14ac:dyDescent="0.2">
      <c r="C642" s="6"/>
      <c r="D642" s="6"/>
      <c r="E642" s="7"/>
      <c r="F642" s="7"/>
      <c r="G642" s="7"/>
      <c r="H642" s="7"/>
      <c r="O642" s="6"/>
      <c r="R642" s="7"/>
      <c r="S642" s="6"/>
      <c r="T642" s="6"/>
      <c r="U642" s="7"/>
      <c r="V642" s="7"/>
    </row>
    <row r="643" spans="3:22" x14ac:dyDescent="0.2">
      <c r="C643" s="6"/>
      <c r="D643" s="6"/>
      <c r="E643" s="7"/>
      <c r="F643" s="7"/>
      <c r="G643" s="7"/>
      <c r="H643" s="7"/>
      <c r="O643" s="6"/>
      <c r="R643" s="7"/>
      <c r="S643" s="6"/>
      <c r="T643" s="6"/>
      <c r="U643" s="7"/>
      <c r="V643" s="7"/>
    </row>
    <row r="644" spans="3:22" x14ac:dyDescent="0.2">
      <c r="C644" s="6"/>
      <c r="D644" s="6"/>
      <c r="E644" s="7"/>
      <c r="F644" s="7"/>
      <c r="G644" s="7"/>
      <c r="H644" s="7"/>
      <c r="O644" s="6"/>
      <c r="R644" s="7"/>
      <c r="S644" s="6"/>
      <c r="T644" s="6"/>
      <c r="U644" s="7"/>
      <c r="V644" s="7"/>
    </row>
    <row r="645" spans="3:22" x14ac:dyDescent="0.2">
      <c r="C645" s="6"/>
      <c r="D645" s="6"/>
      <c r="E645" s="7"/>
      <c r="F645" s="7"/>
      <c r="G645" s="7"/>
      <c r="H645" s="7"/>
      <c r="O645" s="6"/>
      <c r="R645" s="7"/>
      <c r="S645" s="6"/>
      <c r="T645" s="6"/>
      <c r="U645" s="7"/>
      <c r="V645" s="7"/>
    </row>
    <row r="646" spans="3:22" x14ac:dyDescent="0.2">
      <c r="C646" s="6"/>
      <c r="D646" s="6"/>
      <c r="E646" s="7"/>
      <c r="F646" s="7"/>
      <c r="G646" s="7"/>
      <c r="H646" s="7"/>
      <c r="O646" s="6"/>
      <c r="R646" s="7"/>
      <c r="S646" s="6"/>
      <c r="T646" s="6"/>
      <c r="U646" s="7"/>
      <c r="V646" s="7"/>
    </row>
    <row r="647" spans="3:22" x14ac:dyDescent="0.2">
      <c r="C647" s="6"/>
      <c r="D647" s="6"/>
      <c r="E647" s="7"/>
      <c r="F647" s="7"/>
      <c r="G647" s="7"/>
      <c r="H647" s="7"/>
      <c r="O647" s="6"/>
      <c r="R647" s="7"/>
      <c r="S647" s="6"/>
      <c r="T647" s="6"/>
      <c r="U647" s="7"/>
      <c r="V647" s="7"/>
    </row>
    <row r="648" spans="3:22" x14ac:dyDescent="0.2">
      <c r="C648" s="6"/>
      <c r="D648" s="6"/>
      <c r="E648" s="7"/>
      <c r="F648" s="7"/>
      <c r="G648" s="7"/>
      <c r="H648" s="7"/>
      <c r="O648" s="6"/>
      <c r="R648" s="7"/>
      <c r="S648" s="6"/>
      <c r="T648" s="6"/>
      <c r="U648" s="7"/>
      <c r="V648" s="7"/>
    </row>
    <row r="649" spans="3:22" x14ac:dyDescent="0.2">
      <c r="C649" s="6"/>
      <c r="D649" s="6"/>
      <c r="E649" s="7"/>
      <c r="F649" s="7"/>
      <c r="G649" s="7"/>
      <c r="H649" s="7"/>
      <c r="O649" s="6"/>
      <c r="R649" s="7"/>
      <c r="S649" s="6"/>
      <c r="T649" s="6"/>
      <c r="U649" s="7"/>
      <c r="V649" s="7"/>
    </row>
    <row r="650" spans="3:22" x14ac:dyDescent="0.2">
      <c r="C650" s="6"/>
      <c r="D650" s="6"/>
      <c r="E650" s="7"/>
      <c r="F650" s="7"/>
      <c r="G650" s="7"/>
      <c r="H650" s="7"/>
      <c r="O650" s="6"/>
      <c r="R650" s="7"/>
      <c r="S650" s="6"/>
      <c r="T650" s="6"/>
      <c r="U650" s="7"/>
      <c r="V650" s="7"/>
    </row>
    <row r="651" spans="3:22" x14ac:dyDescent="0.2">
      <c r="C651" s="6"/>
      <c r="D651" s="6"/>
      <c r="E651" s="7"/>
      <c r="F651" s="7"/>
      <c r="G651" s="7"/>
      <c r="H651" s="7"/>
      <c r="O651" s="6"/>
      <c r="R651" s="7"/>
      <c r="S651" s="6"/>
      <c r="T651" s="6"/>
      <c r="U651" s="7"/>
      <c r="V651" s="7"/>
    </row>
    <row r="652" spans="3:22" x14ac:dyDescent="0.2">
      <c r="C652" s="6"/>
      <c r="D652" s="6"/>
      <c r="E652" s="7"/>
      <c r="F652" s="7"/>
      <c r="G652" s="7"/>
      <c r="H652" s="7"/>
      <c r="O652" s="6"/>
      <c r="R652" s="7"/>
      <c r="S652" s="6"/>
      <c r="T652" s="6"/>
      <c r="U652" s="7"/>
      <c r="V652" s="7"/>
    </row>
    <row r="653" spans="3:22" x14ac:dyDescent="0.2">
      <c r="C653" s="6"/>
      <c r="D653" s="6"/>
      <c r="E653" s="7"/>
      <c r="F653" s="7"/>
      <c r="G653" s="7"/>
      <c r="H653" s="7"/>
      <c r="O653" s="6"/>
      <c r="R653" s="7"/>
      <c r="S653" s="6"/>
      <c r="T653" s="6"/>
      <c r="U653" s="7"/>
      <c r="V653" s="7"/>
    </row>
    <row r="654" spans="3:22" x14ac:dyDescent="0.2">
      <c r="C654" s="6"/>
      <c r="D654" s="6"/>
      <c r="E654" s="7"/>
      <c r="F654" s="7"/>
      <c r="G654" s="7"/>
      <c r="H654" s="7"/>
      <c r="O654" s="6"/>
      <c r="R654" s="7"/>
      <c r="S654" s="6"/>
      <c r="T654" s="6"/>
      <c r="U654" s="7"/>
      <c r="V654" s="7"/>
    </row>
    <row r="655" spans="3:22" x14ac:dyDescent="0.2">
      <c r="C655" s="6"/>
      <c r="D655" s="6"/>
      <c r="E655" s="7"/>
      <c r="F655" s="7"/>
      <c r="G655" s="7"/>
      <c r="H655" s="7"/>
      <c r="O655" s="6"/>
      <c r="R655" s="7"/>
      <c r="S655" s="6"/>
      <c r="T655" s="6"/>
      <c r="U655" s="7"/>
      <c r="V655" s="7"/>
    </row>
    <row r="656" spans="3:22" x14ac:dyDescent="0.2">
      <c r="C656" s="6"/>
      <c r="D656" s="6"/>
      <c r="E656" s="7"/>
      <c r="F656" s="7"/>
      <c r="G656" s="7"/>
      <c r="H656" s="7"/>
      <c r="O656" s="6"/>
      <c r="R656" s="7"/>
      <c r="S656" s="6"/>
      <c r="T656" s="6"/>
      <c r="U656" s="7"/>
      <c r="V656" s="7"/>
    </row>
    <row r="657" spans="3:22" x14ac:dyDescent="0.2">
      <c r="C657" s="6"/>
      <c r="D657" s="6"/>
      <c r="E657" s="7"/>
      <c r="F657" s="7"/>
      <c r="G657" s="7"/>
      <c r="H657" s="7"/>
      <c r="O657" s="6"/>
      <c r="R657" s="7"/>
      <c r="S657" s="6"/>
      <c r="T657" s="6"/>
      <c r="U657" s="7"/>
      <c r="V657" s="7"/>
    </row>
    <row r="658" spans="3:22" x14ac:dyDescent="0.2">
      <c r="C658" s="6"/>
      <c r="D658" s="6"/>
      <c r="E658" s="7"/>
      <c r="F658" s="7"/>
      <c r="G658" s="7"/>
      <c r="H658" s="7"/>
      <c r="O658" s="6"/>
      <c r="R658" s="7"/>
      <c r="S658" s="6"/>
      <c r="T658" s="6"/>
      <c r="U658" s="7"/>
      <c r="V658" s="7"/>
    </row>
    <row r="659" spans="3:22" x14ac:dyDescent="0.2">
      <c r="C659" s="6"/>
      <c r="D659" s="6"/>
      <c r="E659" s="7"/>
      <c r="F659" s="7"/>
      <c r="G659" s="7"/>
      <c r="H659" s="7"/>
      <c r="O659" s="6"/>
      <c r="R659" s="7"/>
      <c r="S659" s="6"/>
      <c r="T659" s="6"/>
      <c r="U659" s="7"/>
      <c r="V659" s="7"/>
    </row>
    <row r="660" spans="3:22" x14ac:dyDescent="0.2">
      <c r="C660" s="6"/>
      <c r="D660" s="6"/>
      <c r="E660" s="7"/>
      <c r="F660" s="7"/>
      <c r="G660" s="7"/>
      <c r="H660" s="7"/>
      <c r="O660" s="6"/>
      <c r="R660" s="7"/>
      <c r="S660" s="6"/>
      <c r="T660" s="6"/>
      <c r="U660" s="7"/>
      <c r="V660" s="7"/>
    </row>
    <row r="661" spans="3:22" x14ac:dyDescent="0.2">
      <c r="C661" s="6"/>
      <c r="D661" s="6"/>
      <c r="E661" s="7"/>
      <c r="F661" s="7"/>
      <c r="G661" s="7"/>
      <c r="H661" s="7"/>
      <c r="O661" s="6"/>
      <c r="R661" s="7"/>
      <c r="S661" s="6"/>
      <c r="T661" s="6"/>
      <c r="U661" s="7"/>
      <c r="V661" s="7"/>
    </row>
    <row r="662" spans="3:22" x14ac:dyDescent="0.2">
      <c r="C662" s="6"/>
      <c r="D662" s="6"/>
      <c r="E662" s="7"/>
      <c r="F662" s="7"/>
      <c r="G662" s="7"/>
      <c r="H662" s="7"/>
      <c r="O662" s="6"/>
      <c r="R662" s="7"/>
      <c r="S662" s="6"/>
      <c r="T662" s="6"/>
      <c r="U662" s="7"/>
      <c r="V662" s="7"/>
    </row>
    <row r="663" spans="3:22" x14ac:dyDescent="0.2">
      <c r="C663" s="6"/>
      <c r="D663" s="6"/>
      <c r="E663" s="7"/>
      <c r="F663" s="7"/>
      <c r="G663" s="7"/>
      <c r="H663" s="7"/>
      <c r="O663" s="6"/>
      <c r="R663" s="7"/>
      <c r="S663" s="6"/>
      <c r="T663" s="6"/>
      <c r="U663" s="7"/>
      <c r="V663" s="7"/>
    </row>
    <row r="664" spans="3:22" x14ac:dyDescent="0.2">
      <c r="C664" s="6"/>
      <c r="D664" s="6"/>
      <c r="E664" s="7"/>
      <c r="F664" s="7"/>
      <c r="G664" s="7"/>
      <c r="H664" s="7"/>
      <c r="O664" s="6"/>
      <c r="R664" s="7"/>
      <c r="S664" s="6"/>
      <c r="T664" s="6"/>
      <c r="U664" s="7"/>
      <c r="V664" s="7"/>
    </row>
    <row r="665" spans="3:22" x14ac:dyDescent="0.2">
      <c r="C665" s="6"/>
      <c r="D665" s="6"/>
      <c r="E665" s="7"/>
      <c r="F665" s="7"/>
      <c r="G665" s="7"/>
      <c r="H665" s="7"/>
      <c r="O665" s="6"/>
      <c r="R665" s="7"/>
      <c r="S665" s="6"/>
      <c r="T665" s="6"/>
      <c r="U665" s="7"/>
      <c r="V665" s="7"/>
    </row>
    <row r="666" spans="3:22" x14ac:dyDescent="0.2">
      <c r="C666" s="6"/>
      <c r="D666" s="6"/>
      <c r="E666" s="7"/>
      <c r="F666" s="7"/>
      <c r="G666" s="7"/>
      <c r="H666" s="7"/>
      <c r="O666" s="6"/>
      <c r="R666" s="7"/>
      <c r="S666" s="6"/>
      <c r="T666" s="6"/>
      <c r="U666" s="7"/>
      <c r="V666" s="7"/>
    </row>
    <row r="667" spans="3:22" x14ac:dyDescent="0.2">
      <c r="C667" s="6"/>
      <c r="D667" s="6"/>
      <c r="E667" s="7"/>
      <c r="F667" s="7"/>
      <c r="G667" s="7"/>
      <c r="H667" s="7"/>
      <c r="O667" s="6"/>
      <c r="R667" s="7"/>
      <c r="S667" s="6"/>
      <c r="T667" s="6"/>
      <c r="U667" s="7"/>
      <c r="V667" s="7"/>
    </row>
    <row r="668" spans="3:22" x14ac:dyDescent="0.2">
      <c r="C668" s="6"/>
      <c r="D668" s="6"/>
      <c r="E668" s="7"/>
      <c r="F668" s="7"/>
      <c r="G668" s="7"/>
      <c r="H668" s="7"/>
      <c r="O668" s="6"/>
      <c r="R668" s="7"/>
      <c r="S668" s="6"/>
      <c r="T668" s="6"/>
      <c r="U668" s="7"/>
      <c r="V668" s="7"/>
    </row>
    <row r="669" spans="3:22" x14ac:dyDescent="0.2">
      <c r="C669" s="6"/>
      <c r="D669" s="6"/>
      <c r="E669" s="7"/>
      <c r="F669" s="7"/>
      <c r="G669" s="7"/>
      <c r="H669" s="7"/>
      <c r="O669" s="6"/>
      <c r="R669" s="7"/>
      <c r="S669" s="6"/>
      <c r="T669" s="6"/>
      <c r="U669" s="7"/>
      <c r="V669" s="7"/>
    </row>
    <row r="670" spans="3:22" x14ac:dyDescent="0.2">
      <c r="C670" s="6"/>
      <c r="D670" s="6"/>
      <c r="E670" s="7"/>
      <c r="F670" s="7"/>
      <c r="G670" s="7"/>
      <c r="H670" s="7"/>
      <c r="O670" s="6"/>
      <c r="R670" s="7"/>
      <c r="S670" s="6"/>
      <c r="T670" s="6"/>
      <c r="U670" s="7"/>
      <c r="V670" s="7"/>
    </row>
    <row r="671" spans="3:22" x14ac:dyDescent="0.2">
      <c r="C671" s="6"/>
      <c r="D671" s="6"/>
      <c r="E671" s="7"/>
      <c r="F671" s="7"/>
      <c r="G671" s="7"/>
      <c r="H671" s="7"/>
      <c r="O671" s="6"/>
      <c r="R671" s="7"/>
      <c r="S671" s="6"/>
      <c r="T671" s="6"/>
      <c r="U671" s="7"/>
      <c r="V671" s="7"/>
    </row>
    <row r="672" spans="3:22" x14ac:dyDescent="0.2">
      <c r="C672" s="6"/>
      <c r="D672" s="6"/>
      <c r="E672" s="7"/>
      <c r="F672" s="7"/>
      <c r="G672" s="7"/>
      <c r="H672" s="7"/>
      <c r="O672" s="6"/>
      <c r="R672" s="7"/>
      <c r="S672" s="6"/>
      <c r="T672" s="6"/>
      <c r="U672" s="7"/>
      <c r="V672" s="7"/>
    </row>
    <row r="673" spans="3:22" x14ac:dyDescent="0.2">
      <c r="C673" s="6"/>
      <c r="D673" s="6"/>
      <c r="E673" s="7"/>
      <c r="F673" s="7"/>
      <c r="G673" s="7"/>
      <c r="H673" s="7"/>
      <c r="O673" s="6"/>
      <c r="R673" s="7"/>
      <c r="S673" s="6"/>
      <c r="T673" s="6"/>
      <c r="U673" s="7"/>
      <c r="V673" s="7"/>
    </row>
    <row r="674" spans="3:22" x14ac:dyDescent="0.2">
      <c r="C674" s="6"/>
      <c r="D674" s="6"/>
      <c r="E674" s="7"/>
      <c r="F674" s="7"/>
      <c r="G674" s="7"/>
      <c r="H674" s="7"/>
      <c r="O674" s="6"/>
      <c r="R674" s="7"/>
      <c r="S674" s="6"/>
      <c r="T674" s="6"/>
      <c r="U674" s="7"/>
      <c r="V674" s="7"/>
    </row>
    <row r="675" spans="3:22" x14ac:dyDescent="0.2">
      <c r="C675" s="6"/>
      <c r="D675" s="6"/>
      <c r="E675" s="7"/>
      <c r="F675" s="7"/>
      <c r="G675" s="7"/>
      <c r="H675" s="7"/>
      <c r="O675" s="6"/>
      <c r="R675" s="7"/>
      <c r="S675" s="6"/>
      <c r="T675" s="6"/>
      <c r="U675" s="7"/>
      <c r="V675" s="7"/>
    </row>
    <row r="676" spans="3:22" x14ac:dyDescent="0.2">
      <c r="C676" s="6"/>
      <c r="D676" s="6"/>
      <c r="E676" s="7"/>
      <c r="F676" s="7"/>
      <c r="G676" s="7"/>
      <c r="H676" s="7"/>
      <c r="O676" s="6"/>
      <c r="R676" s="7"/>
      <c r="S676" s="6"/>
      <c r="T676" s="6"/>
      <c r="U676" s="7"/>
      <c r="V676" s="7"/>
    </row>
    <row r="677" spans="3:22" x14ac:dyDescent="0.2">
      <c r="C677" s="6"/>
      <c r="D677" s="6"/>
      <c r="E677" s="7"/>
      <c r="F677" s="7"/>
      <c r="G677" s="7"/>
      <c r="H677" s="7"/>
      <c r="O677" s="6"/>
      <c r="R677" s="7"/>
      <c r="S677" s="6"/>
      <c r="T677" s="6"/>
      <c r="U677" s="7"/>
      <c r="V677" s="7"/>
    </row>
    <row r="678" spans="3:22" x14ac:dyDescent="0.2">
      <c r="C678" s="6"/>
      <c r="D678" s="6"/>
      <c r="E678" s="7"/>
      <c r="F678" s="7"/>
      <c r="G678" s="7"/>
      <c r="H678" s="7"/>
      <c r="O678" s="6"/>
      <c r="R678" s="7"/>
      <c r="S678" s="6"/>
      <c r="T678" s="6"/>
      <c r="U678" s="7"/>
      <c r="V678" s="7"/>
    </row>
    <row r="679" spans="3:22" x14ac:dyDescent="0.2">
      <c r="C679" s="6"/>
      <c r="D679" s="6"/>
      <c r="E679" s="7"/>
      <c r="F679" s="7"/>
      <c r="G679" s="7"/>
      <c r="H679" s="7"/>
      <c r="O679" s="6"/>
      <c r="R679" s="7"/>
      <c r="S679" s="6"/>
      <c r="T679" s="6"/>
      <c r="U679" s="7"/>
      <c r="V679" s="7"/>
    </row>
    <row r="680" spans="3:22" x14ac:dyDescent="0.2">
      <c r="C680" s="6"/>
      <c r="D680" s="6"/>
      <c r="E680" s="7"/>
      <c r="F680" s="7"/>
      <c r="G680" s="7"/>
      <c r="H680" s="7"/>
      <c r="O680" s="6"/>
      <c r="R680" s="7"/>
      <c r="S680" s="6"/>
      <c r="T680" s="6"/>
      <c r="U680" s="7"/>
      <c r="V680" s="7"/>
    </row>
    <row r="681" spans="3:22" x14ac:dyDescent="0.2">
      <c r="C681" s="6"/>
      <c r="D681" s="6"/>
      <c r="E681" s="7"/>
      <c r="F681" s="7"/>
      <c r="G681" s="7"/>
      <c r="H681" s="7"/>
      <c r="O681" s="6"/>
      <c r="R681" s="7"/>
      <c r="S681" s="6"/>
      <c r="T681" s="6"/>
      <c r="U681" s="7"/>
      <c r="V681" s="7"/>
    </row>
    <row r="682" spans="3:22" x14ac:dyDescent="0.2">
      <c r="C682" s="6"/>
      <c r="D682" s="6"/>
      <c r="E682" s="7"/>
      <c r="F682" s="7"/>
      <c r="G682" s="7"/>
      <c r="H682" s="7"/>
      <c r="O682" s="6"/>
      <c r="R682" s="7"/>
      <c r="S682" s="6"/>
      <c r="T682" s="6"/>
      <c r="U682" s="7"/>
      <c r="V682" s="7"/>
    </row>
    <row r="683" spans="3:22" x14ac:dyDescent="0.2">
      <c r="C683" s="6"/>
      <c r="D683" s="6"/>
      <c r="E683" s="7"/>
      <c r="F683" s="7"/>
      <c r="G683" s="7"/>
      <c r="H683" s="7"/>
      <c r="O683" s="6"/>
      <c r="R683" s="7"/>
      <c r="S683" s="6"/>
      <c r="T683" s="6"/>
      <c r="U683" s="7"/>
      <c r="V683" s="7"/>
    </row>
    <row r="684" spans="3:22" x14ac:dyDescent="0.2">
      <c r="C684" s="6"/>
      <c r="D684" s="6"/>
      <c r="E684" s="7"/>
      <c r="F684" s="7"/>
      <c r="G684" s="7"/>
      <c r="H684" s="7"/>
      <c r="O684" s="6"/>
      <c r="R684" s="7"/>
      <c r="S684" s="6"/>
      <c r="T684" s="6"/>
      <c r="U684" s="7"/>
      <c r="V684" s="7"/>
    </row>
    <row r="685" spans="3:22" x14ac:dyDescent="0.2">
      <c r="C685" s="6"/>
      <c r="D685" s="6"/>
      <c r="E685" s="7"/>
      <c r="F685" s="7"/>
      <c r="G685" s="7"/>
      <c r="H685" s="7"/>
      <c r="O685" s="6"/>
      <c r="R685" s="7"/>
      <c r="S685" s="6"/>
      <c r="T685" s="6"/>
      <c r="U685" s="7"/>
      <c r="V685" s="7"/>
    </row>
    <row r="686" spans="3:22" x14ac:dyDescent="0.2">
      <c r="C686" s="6"/>
      <c r="D686" s="6"/>
      <c r="E686" s="7"/>
      <c r="F686" s="7"/>
      <c r="G686" s="7"/>
      <c r="H686" s="7"/>
      <c r="O686" s="6"/>
      <c r="R686" s="7"/>
      <c r="S686" s="6"/>
      <c r="T686" s="6"/>
      <c r="U686" s="7"/>
      <c r="V686" s="7"/>
    </row>
    <row r="687" spans="3:22" x14ac:dyDescent="0.2">
      <c r="C687" s="6"/>
      <c r="D687" s="6"/>
      <c r="E687" s="7"/>
      <c r="F687" s="7"/>
      <c r="G687" s="7"/>
      <c r="H687" s="7"/>
      <c r="O687" s="6"/>
      <c r="R687" s="7"/>
      <c r="S687" s="6"/>
      <c r="T687" s="6"/>
      <c r="U687" s="7"/>
      <c r="V687" s="7"/>
    </row>
    <row r="688" spans="3:22" x14ac:dyDescent="0.2">
      <c r="C688" s="6"/>
      <c r="D688" s="6"/>
      <c r="E688" s="7"/>
      <c r="F688" s="7"/>
      <c r="G688" s="7"/>
      <c r="H688" s="7"/>
      <c r="O688" s="6"/>
      <c r="R688" s="7"/>
      <c r="S688" s="6"/>
      <c r="T688" s="6"/>
      <c r="U688" s="7"/>
      <c r="V688" s="7"/>
    </row>
    <row r="689" spans="3:22" x14ac:dyDescent="0.2">
      <c r="C689" s="6"/>
      <c r="D689" s="6"/>
      <c r="E689" s="7"/>
      <c r="F689" s="7"/>
      <c r="G689" s="7"/>
      <c r="H689" s="7"/>
      <c r="O689" s="6"/>
      <c r="R689" s="7"/>
      <c r="S689" s="6"/>
      <c r="T689" s="6"/>
      <c r="U689" s="7"/>
      <c r="V689" s="7"/>
    </row>
    <row r="690" spans="3:22" x14ac:dyDescent="0.2">
      <c r="C690" s="6"/>
      <c r="D690" s="6"/>
      <c r="E690" s="7"/>
      <c r="F690" s="7"/>
      <c r="G690" s="7"/>
      <c r="H690" s="7"/>
      <c r="O690" s="6"/>
      <c r="R690" s="7"/>
      <c r="S690" s="6"/>
      <c r="T690" s="6"/>
      <c r="U690" s="7"/>
      <c r="V690" s="7"/>
    </row>
    <row r="691" spans="3:22" x14ac:dyDescent="0.2">
      <c r="C691" s="6"/>
      <c r="D691" s="6"/>
      <c r="E691" s="7"/>
      <c r="F691" s="7"/>
      <c r="G691" s="7"/>
      <c r="H691" s="7"/>
      <c r="O691" s="6"/>
      <c r="R691" s="7"/>
      <c r="S691" s="6"/>
      <c r="T691" s="6"/>
      <c r="U691" s="7"/>
      <c r="V691" s="7"/>
    </row>
    <row r="692" spans="3:22" x14ac:dyDescent="0.2">
      <c r="C692" s="6"/>
      <c r="D692" s="6"/>
      <c r="E692" s="7"/>
      <c r="F692" s="7"/>
      <c r="G692" s="7"/>
      <c r="H692" s="7"/>
      <c r="O692" s="6"/>
      <c r="R692" s="7"/>
      <c r="S692" s="6"/>
      <c r="T692" s="6"/>
      <c r="U692" s="7"/>
      <c r="V692" s="7"/>
    </row>
    <row r="693" spans="3:22" x14ac:dyDescent="0.2">
      <c r="C693" s="6"/>
      <c r="D693" s="6"/>
      <c r="E693" s="7"/>
      <c r="F693" s="7"/>
      <c r="G693" s="7"/>
      <c r="H693" s="7"/>
      <c r="O693" s="6"/>
      <c r="R693" s="7"/>
      <c r="S693" s="6"/>
      <c r="T693" s="6"/>
      <c r="U693" s="7"/>
      <c r="V693" s="7"/>
    </row>
    <row r="694" spans="3:22" x14ac:dyDescent="0.2">
      <c r="C694" s="6"/>
      <c r="D694" s="6"/>
      <c r="E694" s="7"/>
      <c r="F694" s="7"/>
      <c r="G694" s="7"/>
      <c r="H694" s="7"/>
      <c r="O694" s="6"/>
      <c r="R694" s="7"/>
      <c r="S694" s="6"/>
      <c r="T694" s="6"/>
      <c r="U694" s="7"/>
      <c r="V694" s="7"/>
    </row>
    <row r="695" spans="3:22" x14ac:dyDescent="0.2">
      <c r="C695" s="6"/>
      <c r="D695" s="6"/>
      <c r="E695" s="7"/>
      <c r="F695" s="7"/>
      <c r="G695" s="7"/>
      <c r="H695" s="7"/>
      <c r="O695" s="6"/>
      <c r="R695" s="7"/>
      <c r="S695" s="6"/>
      <c r="T695" s="6"/>
      <c r="U695" s="7"/>
      <c r="V695" s="7"/>
    </row>
    <row r="696" spans="3:22" x14ac:dyDescent="0.2">
      <c r="C696" s="6"/>
      <c r="D696" s="6"/>
      <c r="E696" s="7"/>
      <c r="F696" s="7"/>
      <c r="G696" s="7"/>
      <c r="H696" s="7"/>
      <c r="O696" s="6"/>
      <c r="R696" s="7"/>
      <c r="S696" s="6"/>
      <c r="T696" s="6"/>
      <c r="U696" s="7"/>
      <c r="V696" s="7"/>
    </row>
    <row r="697" spans="3:22" x14ac:dyDescent="0.2">
      <c r="C697" s="6"/>
      <c r="D697" s="6"/>
      <c r="E697" s="7"/>
      <c r="F697" s="7"/>
      <c r="G697" s="7"/>
      <c r="H697" s="7"/>
      <c r="O697" s="6"/>
      <c r="R697" s="7"/>
      <c r="S697" s="6"/>
      <c r="T697" s="6"/>
      <c r="U697" s="7"/>
      <c r="V697" s="7"/>
    </row>
    <row r="698" spans="3:22" x14ac:dyDescent="0.2">
      <c r="C698" s="6"/>
      <c r="D698" s="6"/>
      <c r="E698" s="7"/>
      <c r="F698" s="7"/>
      <c r="G698" s="7"/>
      <c r="H698" s="7"/>
      <c r="O698" s="6"/>
      <c r="R698" s="7"/>
      <c r="S698" s="6"/>
      <c r="T698" s="6"/>
      <c r="U698" s="7"/>
      <c r="V698" s="7"/>
    </row>
    <row r="699" spans="3:22" x14ac:dyDescent="0.2">
      <c r="C699" s="6"/>
      <c r="D699" s="6"/>
      <c r="E699" s="7"/>
      <c r="F699" s="7"/>
      <c r="G699" s="7"/>
      <c r="H699" s="7"/>
      <c r="O699" s="6"/>
      <c r="R699" s="7"/>
      <c r="S699" s="6"/>
      <c r="T699" s="6"/>
      <c r="U699" s="7"/>
      <c r="V699" s="7"/>
    </row>
    <row r="700" spans="3:22" x14ac:dyDescent="0.2">
      <c r="C700" s="6"/>
      <c r="D700" s="6"/>
      <c r="E700" s="7"/>
      <c r="F700" s="7"/>
      <c r="G700" s="7"/>
      <c r="H700" s="7"/>
      <c r="O700" s="6"/>
      <c r="R700" s="7"/>
      <c r="S700" s="6"/>
      <c r="T700" s="6"/>
      <c r="U700" s="7"/>
      <c r="V700" s="7"/>
    </row>
    <row r="701" spans="3:22" x14ac:dyDescent="0.2">
      <c r="C701" s="6"/>
      <c r="D701" s="6"/>
      <c r="E701" s="7"/>
      <c r="F701" s="7"/>
      <c r="G701" s="7"/>
      <c r="H701" s="7"/>
      <c r="O701" s="6"/>
      <c r="R701" s="7"/>
      <c r="S701" s="6"/>
      <c r="T701" s="6"/>
      <c r="U701" s="7"/>
      <c r="V701" s="7"/>
    </row>
    <row r="702" spans="3:22" x14ac:dyDescent="0.2">
      <c r="C702" s="6"/>
      <c r="D702" s="6"/>
      <c r="E702" s="7"/>
      <c r="F702" s="7"/>
      <c r="G702" s="7"/>
      <c r="H702" s="7"/>
      <c r="O702" s="6"/>
      <c r="R702" s="7"/>
      <c r="S702" s="6"/>
      <c r="T702" s="6"/>
      <c r="U702" s="7"/>
      <c r="V702" s="7"/>
    </row>
    <row r="703" spans="3:22" x14ac:dyDescent="0.2">
      <c r="C703" s="6"/>
      <c r="D703" s="6"/>
      <c r="E703" s="7"/>
      <c r="F703" s="7"/>
      <c r="G703" s="7"/>
      <c r="H703" s="7"/>
      <c r="O703" s="6"/>
      <c r="R703" s="7"/>
      <c r="S703" s="6"/>
      <c r="T703" s="6"/>
      <c r="U703" s="7"/>
      <c r="V703" s="7"/>
    </row>
    <row r="704" spans="3:22" x14ac:dyDescent="0.2">
      <c r="C704" s="6"/>
      <c r="D704" s="6"/>
      <c r="E704" s="7"/>
      <c r="F704" s="7"/>
      <c r="G704" s="7"/>
      <c r="H704" s="7"/>
      <c r="O704" s="6"/>
      <c r="R704" s="7"/>
      <c r="S704" s="6"/>
      <c r="T704" s="6"/>
      <c r="U704" s="7"/>
      <c r="V704" s="7"/>
    </row>
    <row r="705" spans="3:22" x14ac:dyDescent="0.2">
      <c r="C705" s="6"/>
      <c r="D705" s="6"/>
      <c r="E705" s="7"/>
      <c r="F705" s="7"/>
      <c r="G705" s="7"/>
      <c r="H705" s="7"/>
      <c r="O705" s="6"/>
      <c r="R705" s="7"/>
      <c r="S705" s="6"/>
      <c r="T705" s="6"/>
      <c r="U705" s="7"/>
      <c r="V705" s="7"/>
    </row>
    <row r="706" spans="3:22" x14ac:dyDescent="0.2">
      <c r="C706" s="6"/>
      <c r="D706" s="6"/>
      <c r="E706" s="7"/>
      <c r="F706" s="7"/>
      <c r="G706" s="7"/>
      <c r="H706" s="7"/>
      <c r="O706" s="6"/>
      <c r="R706" s="7"/>
      <c r="S706" s="6"/>
      <c r="T706" s="6"/>
      <c r="U706" s="7"/>
      <c r="V706" s="7"/>
    </row>
    <row r="707" spans="3:22" x14ac:dyDescent="0.2">
      <c r="C707" s="6"/>
      <c r="D707" s="6"/>
      <c r="E707" s="7"/>
      <c r="F707" s="7"/>
      <c r="G707" s="7"/>
      <c r="H707" s="7"/>
      <c r="O707" s="6"/>
      <c r="R707" s="7"/>
      <c r="S707" s="6"/>
      <c r="T707" s="6"/>
      <c r="U707" s="7"/>
      <c r="V707" s="7"/>
    </row>
    <row r="708" spans="3:22" x14ac:dyDescent="0.2">
      <c r="C708" s="6"/>
      <c r="D708" s="6"/>
      <c r="E708" s="7"/>
      <c r="F708" s="7"/>
      <c r="G708" s="7"/>
      <c r="H708" s="7"/>
      <c r="O708" s="6"/>
      <c r="R708" s="7"/>
      <c r="S708" s="6"/>
      <c r="T708" s="6"/>
      <c r="U708" s="7"/>
      <c r="V708" s="7"/>
    </row>
    <row r="709" spans="3:22" x14ac:dyDescent="0.2">
      <c r="C709" s="6"/>
      <c r="D709" s="6"/>
      <c r="E709" s="7"/>
      <c r="F709" s="7"/>
      <c r="G709" s="7"/>
      <c r="H709" s="7"/>
      <c r="O709" s="6"/>
      <c r="R709" s="7"/>
      <c r="S709" s="6"/>
      <c r="T709" s="6"/>
      <c r="U709" s="7"/>
      <c r="V709" s="7"/>
    </row>
    <row r="710" spans="3:22" x14ac:dyDescent="0.2">
      <c r="C710" s="6"/>
      <c r="D710" s="6"/>
      <c r="E710" s="7"/>
      <c r="F710" s="7"/>
      <c r="G710" s="7"/>
      <c r="H710" s="7"/>
      <c r="O710" s="6"/>
      <c r="R710" s="7"/>
      <c r="S710" s="6"/>
      <c r="T710" s="6"/>
      <c r="U710" s="7"/>
      <c r="V710" s="7"/>
    </row>
    <row r="711" spans="3:22" x14ac:dyDescent="0.2">
      <c r="C711" s="6"/>
      <c r="D711" s="6"/>
      <c r="E711" s="7"/>
      <c r="F711" s="7"/>
      <c r="G711" s="7"/>
      <c r="H711" s="7"/>
      <c r="O711" s="6"/>
      <c r="R711" s="7"/>
      <c r="S711" s="6"/>
      <c r="T711" s="6"/>
      <c r="U711" s="7"/>
      <c r="V711" s="7"/>
    </row>
    <row r="712" spans="3:22" x14ac:dyDescent="0.2">
      <c r="C712" s="6"/>
      <c r="D712" s="6"/>
      <c r="E712" s="7"/>
      <c r="F712" s="7"/>
      <c r="G712" s="7"/>
      <c r="H712" s="7"/>
      <c r="O712" s="6"/>
      <c r="R712" s="7"/>
      <c r="S712" s="6"/>
      <c r="T712" s="6"/>
      <c r="U712" s="7"/>
      <c r="V712" s="7"/>
    </row>
    <row r="713" spans="3:22" x14ac:dyDescent="0.2">
      <c r="C713" s="6"/>
      <c r="D713" s="6"/>
      <c r="E713" s="7"/>
      <c r="F713" s="7"/>
      <c r="G713" s="7"/>
      <c r="H713" s="7"/>
      <c r="O713" s="6"/>
      <c r="R713" s="7"/>
      <c r="S713" s="6"/>
      <c r="T713" s="6"/>
      <c r="U713" s="7"/>
      <c r="V713" s="7"/>
    </row>
    <row r="714" spans="3:22" x14ac:dyDescent="0.2">
      <c r="C714" s="6"/>
      <c r="D714" s="6"/>
      <c r="E714" s="7"/>
      <c r="F714" s="7"/>
      <c r="G714" s="7"/>
      <c r="H714" s="7"/>
      <c r="O714" s="6"/>
      <c r="R714" s="7"/>
      <c r="S714" s="6"/>
      <c r="T714" s="6"/>
      <c r="U714" s="7"/>
      <c r="V714" s="7"/>
    </row>
    <row r="715" spans="3:22" x14ac:dyDescent="0.2">
      <c r="C715" s="6"/>
      <c r="D715" s="6"/>
      <c r="E715" s="7"/>
      <c r="F715" s="7"/>
      <c r="G715" s="7"/>
      <c r="H715" s="7"/>
      <c r="O715" s="6"/>
      <c r="R715" s="7"/>
      <c r="S715" s="6"/>
      <c r="T715" s="6"/>
      <c r="U715" s="7"/>
      <c r="V715" s="7"/>
    </row>
    <row r="716" spans="3:22" x14ac:dyDescent="0.2">
      <c r="C716" s="6"/>
      <c r="D716" s="6"/>
      <c r="E716" s="7"/>
      <c r="F716" s="7"/>
      <c r="G716" s="7"/>
      <c r="H716" s="7"/>
      <c r="O716" s="6"/>
      <c r="R716" s="7"/>
      <c r="S716" s="6"/>
      <c r="T716" s="6"/>
      <c r="U716" s="7"/>
      <c r="V716" s="7"/>
    </row>
    <row r="717" spans="3:22" x14ac:dyDescent="0.2">
      <c r="C717" s="6"/>
      <c r="D717" s="6"/>
      <c r="E717" s="7"/>
      <c r="F717" s="7"/>
      <c r="G717" s="7"/>
      <c r="H717" s="7"/>
      <c r="O717" s="6"/>
      <c r="R717" s="7"/>
      <c r="S717" s="6"/>
      <c r="T717" s="6"/>
      <c r="U717" s="7"/>
      <c r="V717" s="7"/>
    </row>
    <row r="718" spans="3:22" x14ac:dyDescent="0.2">
      <c r="C718" s="6"/>
      <c r="D718" s="6"/>
      <c r="E718" s="7"/>
      <c r="F718" s="7"/>
      <c r="G718" s="7"/>
      <c r="H718" s="7"/>
      <c r="O718" s="6"/>
      <c r="R718" s="7"/>
      <c r="S718" s="6"/>
      <c r="T718" s="6"/>
      <c r="U718" s="7"/>
      <c r="V718" s="7"/>
    </row>
    <row r="719" spans="3:22" x14ac:dyDescent="0.2">
      <c r="C719" s="6"/>
      <c r="D719" s="6"/>
      <c r="E719" s="7"/>
      <c r="F719" s="7"/>
      <c r="G719" s="7"/>
      <c r="H719" s="7"/>
      <c r="O719" s="6"/>
      <c r="R719" s="7"/>
      <c r="S719" s="6"/>
      <c r="T719" s="6"/>
      <c r="U719" s="7"/>
      <c r="V719" s="7"/>
    </row>
    <row r="720" spans="3:22" x14ac:dyDescent="0.2">
      <c r="C720" s="6"/>
      <c r="D720" s="6"/>
      <c r="E720" s="7"/>
      <c r="F720" s="7"/>
      <c r="G720" s="7"/>
      <c r="H720" s="7"/>
      <c r="O720" s="6"/>
      <c r="R720" s="7"/>
      <c r="S720" s="6"/>
      <c r="T720" s="6"/>
      <c r="U720" s="7"/>
      <c r="V720" s="7"/>
    </row>
    <row r="721" spans="3:22" x14ac:dyDescent="0.2">
      <c r="C721" s="6"/>
      <c r="D721" s="6"/>
      <c r="E721" s="7"/>
      <c r="F721" s="7"/>
      <c r="G721" s="7"/>
      <c r="H721" s="7"/>
      <c r="O721" s="6"/>
      <c r="R721" s="7"/>
      <c r="S721" s="6"/>
      <c r="T721" s="6"/>
      <c r="U721" s="7"/>
      <c r="V721" s="7"/>
    </row>
    <row r="722" spans="3:22" x14ac:dyDescent="0.2">
      <c r="C722" s="6"/>
      <c r="D722" s="6"/>
      <c r="E722" s="7"/>
      <c r="F722" s="7"/>
      <c r="G722" s="7"/>
      <c r="H722" s="7"/>
      <c r="O722" s="6"/>
      <c r="R722" s="7"/>
      <c r="S722" s="6"/>
      <c r="T722" s="6"/>
      <c r="U722" s="7"/>
      <c r="V722" s="7"/>
    </row>
    <row r="723" spans="3:22" x14ac:dyDescent="0.2">
      <c r="C723" s="6"/>
      <c r="D723" s="6"/>
      <c r="E723" s="7"/>
      <c r="F723" s="7"/>
      <c r="G723" s="7"/>
      <c r="H723" s="7"/>
      <c r="O723" s="6"/>
      <c r="R723" s="7"/>
      <c r="S723" s="6"/>
      <c r="T723" s="6"/>
      <c r="U723" s="7"/>
      <c r="V723" s="7"/>
    </row>
    <row r="724" spans="3:22" x14ac:dyDescent="0.2">
      <c r="C724" s="6"/>
      <c r="D724" s="6"/>
      <c r="E724" s="7"/>
      <c r="F724" s="7"/>
      <c r="G724" s="7"/>
      <c r="H724" s="7"/>
      <c r="O724" s="6"/>
      <c r="R724" s="7"/>
      <c r="S724" s="6"/>
      <c r="T724" s="6"/>
      <c r="U724" s="7"/>
      <c r="V724" s="7"/>
    </row>
    <row r="725" spans="3:22" x14ac:dyDescent="0.2">
      <c r="C725" s="6"/>
      <c r="D725" s="6"/>
      <c r="E725" s="7"/>
      <c r="F725" s="7"/>
      <c r="G725" s="7"/>
      <c r="H725" s="7"/>
      <c r="O725" s="6"/>
      <c r="R725" s="7"/>
      <c r="S725" s="6"/>
      <c r="T725" s="6"/>
      <c r="U725" s="7"/>
      <c r="V725" s="7"/>
    </row>
    <row r="726" spans="3:22" x14ac:dyDescent="0.2">
      <c r="C726" s="6"/>
      <c r="D726" s="6"/>
      <c r="E726" s="7"/>
      <c r="F726" s="7"/>
      <c r="G726" s="7"/>
      <c r="H726" s="7"/>
      <c r="O726" s="6"/>
      <c r="R726" s="7"/>
      <c r="S726" s="6"/>
      <c r="T726" s="6"/>
      <c r="U726" s="7"/>
      <c r="V726" s="7"/>
    </row>
    <row r="727" spans="3:22" x14ac:dyDescent="0.2">
      <c r="C727" s="6"/>
      <c r="D727" s="6"/>
      <c r="E727" s="7"/>
      <c r="F727" s="7"/>
      <c r="G727" s="7"/>
      <c r="H727" s="7"/>
      <c r="O727" s="6"/>
      <c r="R727" s="7"/>
      <c r="S727" s="6"/>
      <c r="T727" s="6"/>
      <c r="U727" s="7"/>
      <c r="V727" s="7"/>
    </row>
    <row r="728" spans="3:22" x14ac:dyDescent="0.2">
      <c r="C728" s="6"/>
      <c r="D728" s="6"/>
      <c r="E728" s="7"/>
      <c r="F728" s="7"/>
      <c r="G728" s="7"/>
      <c r="H728" s="7"/>
      <c r="O728" s="6"/>
      <c r="R728" s="7"/>
      <c r="S728" s="6"/>
      <c r="T728" s="6"/>
      <c r="U728" s="7"/>
      <c r="V728" s="7"/>
    </row>
    <row r="729" spans="3:22" x14ac:dyDescent="0.2">
      <c r="C729" s="6"/>
      <c r="D729" s="6"/>
      <c r="E729" s="7"/>
      <c r="F729" s="7"/>
      <c r="G729" s="7"/>
      <c r="H729" s="7"/>
      <c r="O729" s="6"/>
      <c r="R729" s="7"/>
      <c r="S729" s="6"/>
      <c r="T729" s="6"/>
      <c r="U729" s="7"/>
      <c r="V729" s="7"/>
    </row>
    <row r="730" spans="3:22" x14ac:dyDescent="0.2">
      <c r="C730" s="6"/>
      <c r="D730" s="6"/>
      <c r="E730" s="7"/>
      <c r="F730" s="7"/>
      <c r="G730" s="7"/>
      <c r="H730" s="7"/>
      <c r="O730" s="6"/>
      <c r="R730" s="7"/>
      <c r="S730" s="6"/>
      <c r="T730" s="6"/>
      <c r="U730" s="7"/>
      <c r="V730" s="7"/>
    </row>
    <row r="731" spans="3:22" x14ac:dyDescent="0.2">
      <c r="C731" s="6"/>
      <c r="D731" s="6"/>
      <c r="E731" s="7"/>
      <c r="F731" s="7"/>
      <c r="G731" s="7"/>
      <c r="H731" s="7"/>
      <c r="O731" s="6"/>
      <c r="R731" s="7"/>
      <c r="S731" s="6"/>
      <c r="T731" s="6"/>
      <c r="U731" s="7"/>
      <c r="V731" s="7"/>
    </row>
    <row r="732" spans="3:22" x14ac:dyDescent="0.2">
      <c r="C732" s="6"/>
      <c r="D732" s="6"/>
      <c r="E732" s="7"/>
      <c r="F732" s="7"/>
      <c r="G732" s="7"/>
      <c r="H732" s="7"/>
      <c r="O732" s="6"/>
      <c r="R732" s="7"/>
      <c r="S732" s="6"/>
      <c r="T732" s="6"/>
      <c r="U732" s="7"/>
      <c r="V732" s="7"/>
    </row>
    <row r="733" spans="3:22" x14ac:dyDescent="0.2">
      <c r="C733" s="6"/>
      <c r="D733" s="6"/>
      <c r="E733" s="7"/>
      <c r="F733" s="7"/>
      <c r="G733" s="7"/>
      <c r="H733" s="7"/>
      <c r="O733" s="6"/>
      <c r="R733" s="7"/>
      <c r="S733" s="6"/>
      <c r="T733" s="6"/>
      <c r="U733" s="7"/>
      <c r="V733" s="7"/>
    </row>
    <row r="734" spans="3:22" x14ac:dyDescent="0.2">
      <c r="C734" s="6"/>
      <c r="D734" s="6"/>
      <c r="E734" s="7"/>
      <c r="F734" s="7"/>
      <c r="G734" s="7"/>
      <c r="H734" s="7"/>
      <c r="O734" s="6"/>
      <c r="R734" s="7"/>
      <c r="S734" s="6"/>
      <c r="T734" s="6"/>
      <c r="U734" s="7"/>
      <c r="V734" s="7"/>
    </row>
    <row r="735" spans="3:22" x14ac:dyDescent="0.2">
      <c r="C735" s="6"/>
      <c r="D735" s="6"/>
      <c r="E735" s="7"/>
      <c r="F735" s="7"/>
      <c r="G735" s="7"/>
      <c r="H735" s="7"/>
      <c r="O735" s="6"/>
      <c r="R735" s="7"/>
      <c r="S735" s="6"/>
      <c r="T735" s="6"/>
      <c r="U735" s="7"/>
      <c r="V735" s="7"/>
    </row>
    <row r="736" spans="3:22" x14ac:dyDescent="0.2">
      <c r="C736" s="6"/>
      <c r="D736" s="6"/>
      <c r="E736" s="7"/>
      <c r="F736" s="7"/>
      <c r="G736" s="7"/>
      <c r="H736" s="7"/>
      <c r="O736" s="6"/>
      <c r="R736" s="7"/>
      <c r="S736" s="6"/>
      <c r="T736" s="6"/>
      <c r="U736" s="7"/>
      <c r="V736" s="7"/>
    </row>
    <row r="737" spans="3:22" x14ac:dyDescent="0.2">
      <c r="C737" s="6"/>
      <c r="D737" s="6"/>
      <c r="E737" s="7"/>
      <c r="F737" s="7"/>
      <c r="G737" s="7"/>
      <c r="H737" s="7"/>
      <c r="O737" s="6"/>
      <c r="R737" s="7"/>
      <c r="S737" s="6"/>
      <c r="T737" s="6"/>
      <c r="U737" s="7"/>
      <c r="V737" s="7"/>
    </row>
    <row r="738" spans="3:22" x14ac:dyDescent="0.2">
      <c r="C738" s="6"/>
      <c r="D738" s="6"/>
      <c r="E738" s="7"/>
      <c r="F738" s="7"/>
      <c r="G738" s="7"/>
      <c r="H738" s="7"/>
      <c r="O738" s="6"/>
      <c r="R738" s="7"/>
      <c r="S738" s="6"/>
      <c r="T738" s="6"/>
      <c r="U738" s="7"/>
      <c r="V738" s="7"/>
    </row>
    <row r="739" spans="3:22" x14ac:dyDescent="0.2">
      <c r="C739" s="6"/>
      <c r="D739" s="6"/>
      <c r="E739" s="7"/>
      <c r="F739" s="7"/>
      <c r="G739" s="7"/>
      <c r="H739" s="7"/>
      <c r="O739" s="6"/>
      <c r="R739" s="7"/>
      <c r="S739" s="6"/>
      <c r="T739" s="6"/>
      <c r="U739" s="7"/>
      <c r="V739" s="7"/>
    </row>
    <row r="740" spans="3:22" x14ac:dyDescent="0.2">
      <c r="C740" s="6"/>
      <c r="D740" s="6"/>
      <c r="E740" s="7"/>
      <c r="F740" s="7"/>
      <c r="G740" s="7"/>
      <c r="H740" s="7"/>
      <c r="O740" s="6"/>
      <c r="R740" s="7"/>
      <c r="S740" s="6"/>
      <c r="T740" s="6"/>
      <c r="U740" s="7"/>
      <c r="V740" s="7"/>
    </row>
    <row r="741" spans="3:22" x14ac:dyDescent="0.2">
      <c r="C741" s="6"/>
      <c r="D741" s="6"/>
      <c r="E741" s="7"/>
      <c r="F741" s="7"/>
      <c r="G741" s="7"/>
      <c r="H741" s="7"/>
      <c r="O741" s="6"/>
      <c r="R741" s="7"/>
      <c r="S741" s="6"/>
      <c r="T741" s="6"/>
      <c r="U741" s="7"/>
      <c r="V741" s="7"/>
    </row>
    <row r="742" spans="3:22" x14ac:dyDescent="0.2">
      <c r="C742" s="6"/>
      <c r="D742" s="6"/>
      <c r="E742" s="7"/>
      <c r="F742" s="7"/>
      <c r="G742" s="7"/>
      <c r="H742" s="7"/>
      <c r="O742" s="6"/>
      <c r="R742" s="7"/>
      <c r="S742" s="6"/>
      <c r="T742" s="6"/>
      <c r="U742" s="7"/>
      <c r="V742" s="7"/>
    </row>
    <row r="743" spans="3:22" x14ac:dyDescent="0.2">
      <c r="C743" s="6"/>
      <c r="D743" s="6"/>
      <c r="E743" s="7"/>
      <c r="F743" s="7"/>
      <c r="G743" s="7"/>
      <c r="H743" s="7"/>
      <c r="O743" s="6"/>
      <c r="R743" s="7"/>
      <c r="S743" s="6"/>
      <c r="T743" s="6"/>
      <c r="U743" s="7"/>
      <c r="V743" s="7"/>
    </row>
    <row r="744" spans="3:22" x14ac:dyDescent="0.2">
      <c r="C744" s="6"/>
      <c r="D744" s="6"/>
      <c r="E744" s="7"/>
      <c r="F744" s="7"/>
      <c r="G744" s="7"/>
      <c r="H744" s="7"/>
      <c r="O744" s="6"/>
      <c r="R744" s="7"/>
      <c r="S744" s="6"/>
      <c r="T744" s="6"/>
      <c r="U744" s="7"/>
      <c r="V744" s="7"/>
    </row>
    <row r="745" spans="3:22" x14ac:dyDescent="0.2">
      <c r="C745" s="6"/>
      <c r="D745" s="6"/>
      <c r="E745" s="7"/>
      <c r="F745" s="7"/>
      <c r="G745" s="7"/>
      <c r="H745" s="7"/>
      <c r="O745" s="6"/>
      <c r="R745" s="7"/>
      <c r="S745" s="6"/>
      <c r="T745" s="6"/>
      <c r="U745" s="7"/>
      <c r="V745" s="7"/>
    </row>
    <row r="746" spans="3:22" x14ac:dyDescent="0.2">
      <c r="C746" s="6"/>
      <c r="D746" s="6"/>
      <c r="E746" s="7"/>
      <c r="F746" s="7"/>
      <c r="G746" s="7"/>
      <c r="H746" s="7"/>
      <c r="O746" s="6"/>
      <c r="R746" s="7"/>
      <c r="S746" s="6"/>
      <c r="T746" s="6"/>
      <c r="U746" s="7"/>
      <c r="V746" s="7"/>
    </row>
    <row r="747" spans="3:22" x14ac:dyDescent="0.2">
      <c r="C747" s="6"/>
      <c r="D747" s="6"/>
      <c r="E747" s="7"/>
      <c r="F747" s="7"/>
      <c r="G747" s="7"/>
      <c r="H747" s="7"/>
      <c r="O747" s="6"/>
      <c r="R747" s="7"/>
      <c r="S747" s="6"/>
      <c r="T747" s="6"/>
      <c r="U747" s="7"/>
      <c r="V747" s="7"/>
    </row>
    <row r="748" spans="3:22" x14ac:dyDescent="0.2">
      <c r="C748" s="6"/>
      <c r="D748" s="6"/>
      <c r="E748" s="7"/>
      <c r="F748" s="7"/>
      <c r="G748" s="7"/>
      <c r="H748" s="7"/>
      <c r="O748" s="6"/>
      <c r="R748" s="7"/>
      <c r="S748" s="6"/>
      <c r="T748" s="6"/>
      <c r="U748" s="7"/>
      <c r="V748" s="7"/>
    </row>
    <row r="749" spans="3:22" x14ac:dyDescent="0.2">
      <c r="C749" s="6"/>
      <c r="D749" s="6"/>
      <c r="E749" s="7"/>
      <c r="F749" s="7"/>
      <c r="G749" s="7"/>
      <c r="H749" s="7"/>
      <c r="O749" s="6"/>
      <c r="R749" s="7"/>
      <c r="S749" s="6"/>
      <c r="T749" s="6"/>
      <c r="U749" s="7"/>
      <c r="V749" s="7"/>
    </row>
    <row r="750" spans="3:22" x14ac:dyDescent="0.2">
      <c r="C750" s="6"/>
      <c r="D750" s="6"/>
      <c r="E750" s="7"/>
      <c r="F750" s="7"/>
      <c r="G750" s="7"/>
      <c r="H750" s="7"/>
      <c r="O750" s="6"/>
      <c r="R750" s="7"/>
      <c r="S750" s="6"/>
      <c r="T750" s="6"/>
      <c r="U750" s="7"/>
      <c r="V750" s="7"/>
    </row>
    <row r="751" spans="3:22" x14ac:dyDescent="0.2">
      <c r="C751" s="6"/>
      <c r="D751" s="6"/>
      <c r="E751" s="7"/>
      <c r="F751" s="7"/>
      <c r="G751" s="7"/>
      <c r="H751" s="7"/>
      <c r="O751" s="6"/>
      <c r="R751" s="7"/>
      <c r="S751" s="6"/>
      <c r="T751" s="6"/>
      <c r="U751" s="7"/>
      <c r="V751" s="7"/>
    </row>
    <row r="752" spans="3:22" x14ac:dyDescent="0.2">
      <c r="C752" s="6"/>
      <c r="D752" s="6"/>
      <c r="E752" s="7"/>
      <c r="F752" s="7"/>
      <c r="G752" s="7"/>
      <c r="H752" s="7"/>
      <c r="O752" s="6"/>
      <c r="R752" s="7"/>
      <c r="S752" s="6"/>
      <c r="T752" s="6"/>
      <c r="U752" s="7"/>
      <c r="V752" s="7"/>
    </row>
    <row r="753" spans="3:22" x14ac:dyDescent="0.2">
      <c r="C753" s="6"/>
      <c r="D753" s="6"/>
      <c r="E753" s="7"/>
      <c r="F753" s="7"/>
      <c r="G753" s="7"/>
      <c r="H753" s="7"/>
      <c r="O753" s="6"/>
      <c r="R753" s="7"/>
      <c r="S753" s="6"/>
      <c r="T753" s="6"/>
      <c r="U753" s="7"/>
      <c r="V753" s="7"/>
    </row>
    <row r="754" spans="3:22" x14ac:dyDescent="0.2">
      <c r="C754" s="6"/>
      <c r="D754" s="6"/>
      <c r="E754" s="7"/>
      <c r="F754" s="7"/>
      <c r="G754" s="7"/>
      <c r="H754" s="7"/>
      <c r="O754" s="6"/>
      <c r="R754" s="7"/>
      <c r="S754" s="6"/>
      <c r="T754" s="6"/>
      <c r="U754" s="7"/>
      <c r="V754" s="7"/>
    </row>
    <row r="755" spans="3:22" x14ac:dyDescent="0.2">
      <c r="C755" s="6"/>
      <c r="D755" s="6"/>
      <c r="E755" s="7"/>
      <c r="F755" s="7"/>
      <c r="G755" s="7"/>
      <c r="H755" s="7"/>
      <c r="O755" s="6"/>
      <c r="R755" s="7"/>
      <c r="S755" s="6"/>
      <c r="T755" s="6"/>
      <c r="U755" s="7"/>
      <c r="V755" s="7"/>
    </row>
    <row r="756" spans="3:22" x14ac:dyDescent="0.2">
      <c r="C756" s="6"/>
      <c r="D756" s="6"/>
      <c r="E756" s="7"/>
      <c r="F756" s="7"/>
      <c r="G756" s="7"/>
      <c r="H756" s="7"/>
      <c r="O756" s="6"/>
      <c r="R756" s="7"/>
      <c r="S756" s="6"/>
      <c r="T756" s="6"/>
      <c r="U756" s="7"/>
      <c r="V756" s="7"/>
    </row>
    <row r="757" spans="3:22" x14ac:dyDescent="0.2">
      <c r="C757" s="6"/>
      <c r="D757" s="6"/>
      <c r="E757" s="7"/>
      <c r="F757" s="7"/>
      <c r="G757" s="7"/>
      <c r="H757" s="7"/>
      <c r="O757" s="6"/>
      <c r="R757" s="7"/>
      <c r="S757" s="6"/>
      <c r="T757" s="6"/>
      <c r="U757" s="7"/>
      <c r="V757" s="7"/>
    </row>
    <row r="758" spans="3:22" x14ac:dyDescent="0.2">
      <c r="C758" s="6"/>
      <c r="D758" s="6"/>
      <c r="E758" s="7"/>
      <c r="F758" s="7"/>
      <c r="G758" s="7"/>
      <c r="H758" s="7"/>
      <c r="O758" s="6"/>
      <c r="R758" s="7"/>
      <c r="S758" s="6"/>
      <c r="T758" s="6"/>
      <c r="U758" s="7"/>
      <c r="V758" s="7"/>
    </row>
    <row r="759" spans="3:22" x14ac:dyDescent="0.2">
      <c r="C759" s="6"/>
      <c r="D759" s="6"/>
      <c r="E759" s="7"/>
      <c r="F759" s="7"/>
      <c r="G759" s="7"/>
      <c r="H759" s="7"/>
      <c r="O759" s="6"/>
      <c r="R759" s="7"/>
      <c r="S759" s="6"/>
      <c r="T759" s="6"/>
      <c r="U759" s="7"/>
      <c r="V759" s="7"/>
    </row>
    <row r="760" spans="3:22" x14ac:dyDescent="0.2">
      <c r="C760" s="6"/>
      <c r="D760" s="6"/>
      <c r="E760" s="7"/>
      <c r="F760" s="7"/>
      <c r="G760" s="7"/>
      <c r="H760" s="7"/>
      <c r="O760" s="6"/>
      <c r="R760" s="7"/>
      <c r="S760" s="6"/>
      <c r="T760" s="6"/>
      <c r="U760" s="7"/>
      <c r="V760" s="7"/>
    </row>
    <row r="761" spans="3:22" x14ac:dyDescent="0.2">
      <c r="C761" s="6"/>
      <c r="D761" s="6"/>
      <c r="E761" s="7"/>
      <c r="F761" s="7"/>
      <c r="G761" s="7"/>
      <c r="H761" s="7"/>
      <c r="O761" s="6"/>
      <c r="R761" s="7"/>
      <c r="S761" s="6"/>
      <c r="T761" s="6"/>
      <c r="U761" s="7"/>
      <c r="V761" s="7"/>
    </row>
    <row r="762" spans="3:22" x14ac:dyDescent="0.2">
      <c r="C762" s="6"/>
      <c r="D762" s="6"/>
      <c r="E762" s="7"/>
      <c r="F762" s="7"/>
      <c r="G762" s="7"/>
      <c r="H762" s="7"/>
      <c r="O762" s="6"/>
      <c r="R762" s="7"/>
      <c r="S762" s="6"/>
      <c r="T762" s="6"/>
      <c r="U762" s="7"/>
      <c r="V762" s="7"/>
    </row>
    <row r="763" spans="3:22" x14ac:dyDescent="0.2">
      <c r="C763" s="6"/>
      <c r="D763" s="6"/>
      <c r="E763" s="7"/>
      <c r="F763" s="7"/>
      <c r="G763" s="7"/>
      <c r="H763" s="7"/>
      <c r="O763" s="6"/>
      <c r="R763" s="7"/>
      <c r="S763" s="6"/>
      <c r="T763" s="6"/>
      <c r="U763" s="7"/>
      <c r="V763" s="7"/>
    </row>
    <row r="764" spans="3:22" x14ac:dyDescent="0.2">
      <c r="C764" s="6"/>
      <c r="D764" s="6"/>
      <c r="E764" s="7"/>
      <c r="F764" s="7"/>
      <c r="G764" s="7"/>
      <c r="H764" s="7"/>
      <c r="O764" s="6"/>
      <c r="R764" s="7"/>
      <c r="S764" s="6"/>
      <c r="T764" s="6"/>
      <c r="U764" s="7"/>
      <c r="V764" s="7"/>
    </row>
    <row r="765" spans="3:22" x14ac:dyDescent="0.2">
      <c r="C765" s="6"/>
      <c r="D765" s="6"/>
      <c r="E765" s="7"/>
      <c r="F765" s="7"/>
      <c r="G765" s="7"/>
      <c r="H765" s="7"/>
      <c r="O765" s="6"/>
      <c r="R765" s="7"/>
      <c r="S765" s="6"/>
      <c r="T765" s="6"/>
      <c r="U765" s="7"/>
      <c r="V765" s="7"/>
    </row>
    <row r="766" spans="3:22" x14ac:dyDescent="0.2">
      <c r="C766" s="6"/>
      <c r="D766" s="6"/>
      <c r="E766" s="7"/>
      <c r="F766" s="7"/>
      <c r="G766" s="7"/>
      <c r="H766" s="7"/>
      <c r="O766" s="6"/>
      <c r="R766" s="7"/>
      <c r="S766" s="6"/>
      <c r="T766" s="6"/>
      <c r="U766" s="7"/>
      <c r="V766" s="7"/>
    </row>
    <row r="767" spans="3:22" x14ac:dyDescent="0.2">
      <c r="C767" s="6"/>
      <c r="D767" s="6"/>
      <c r="E767" s="7"/>
      <c r="F767" s="7"/>
      <c r="G767" s="7"/>
      <c r="H767" s="7"/>
      <c r="O767" s="6"/>
      <c r="R767" s="7"/>
      <c r="S767" s="6"/>
      <c r="T767" s="6"/>
      <c r="U767" s="7"/>
      <c r="V767" s="7"/>
    </row>
    <row r="768" spans="3:22" x14ac:dyDescent="0.2">
      <c r="C768" s="6"/>
      <c r="D768" s="6"/>
      <c r="E768" s="7"/>
      <c r="F768" s="7"/>
      <c r="G768" s="7"/>
      <c r="H768" s="7"/>
      <c r="O768" s="6"/>
      <c r="R768" s="7"/>
      <c r="S768" s="6"/>
      <c r="T768" s="6"/>
      <c r="U768" s="7"/>
      <c r="V768" s="7"/>
    </row>
    <row r="769" spans="3:22" x14ac:dyDescent="0.2">
      <c r="C769" s="6"/>
      <c r="D769" s="6"/>
      <c r="E769" s="7"/>
      <c r="F769" s="7"/>
      <c r="G769" s="7"/>
      <c r="H769" s="7"/>
      <c r="O769" s="6"/>
      <c r="R769" s="7"/>
      <c r="S769" s="6"/>
      <c r="T769" s="6"/>
      <c r="U769" s="7"/>
      <c r="V769" s="7"/>
    </row>
    <row r="770" spans="3:22" x14ac:dyDescent="0.2">
      <c r="C770" s="6"/>
      <c r="D770" s="6"/>
      <c r="E770" s="7"/>
      <c r="F770" s="7"/>
      <c r="G770" s="7"/>
      <c r="H770" s="7"/>
      <c r="O770" s="6"/>
      <c r="R770" s="7"/>
      <c r="S770" s="6"/>
      <c r="T770" s="6"/>
      <c r="U770" s="7"/>
      <c r="V770" s="7"/>
    </row>
    <row r="771" spans="3:22" x14ac:dyDescent="0.2">
      <c r="C771" s="6"/>
      <c r="D771" s="6"/>
      <c r="E771" s="7"/>
      <c r="F771" s="7"/>
      <c r="G771" s="7"/>
      <c r="H771" s="7"/>
      <c r="O771" s="6"/>
      <c r="R771" s="7"/>
      <c r="S771" s="6"/>
      <c r="T771" s="6"/>
      <c r="U771" s="7"/>
      <c r="V771" s="7"/>
    </row>
    <row r="772" spans="3:22" x14ac:dyDescent="0.2">
      <c r="C772" s="6"/>
      <c r="D772" s="6"/>
      <c r="E772" s="7"/>
      <c r="F772" s="7"/>
      <c r="G772" s="7"/>
      <c r="H772" s="7"/>
      <c r="O772" s="6"/>
      <c r="R772" s="7"/>
      <c r="S772" s="6"/>
      <c r="T772" s="6"/>
      <c r="U772" s="7"/>
      <c r="V772" s="7"/>
    </row>
    <row r="773" spans="3:22" x14ac:dyDescent="0.2">
      <c r="C773" s="6"/>
      <c r="D773" s="6"/>
      <c r="E773" s="7"/>
      <c r="F773" s="7"/>
      <c r="G773" s="7"/>
      <c r="H773" s="7"/>
      <c r="O773" s="6"/>
      <c r="R773" s="7"/>
      <c r="S773" s="6"/>
      <c r="T773" s="6"/>
      <c r="U773" s="7"/>
      <c r="V773" s="7"/>
    </row>
    <row r="774" spans="3:22" x14ac:dyDescent="0.2">
      <c r="C774" s="6"/>
      <c r="D774" s="6"/>
      <c r="E774" s="7"/>
      <c r="F774" s="7"/>
      <c r="G774" s="7"/>
      <c r="H774" s="7"/>
      <c r="O774" s="6"/>
      <c r="R774" s="7"/>
      <c r="S774" s="6"/>
      <c r="T774" s="6"/>
      <c r="U774" s="7"/>
      <c r="V774" s="7"/>
    </row>
    <row r="775" spans="3:22" x14ac:dyDescent="0.2">
      <c r="C775" s="6"/>
      <c r="D775" s="6"/>
      <c r="E775" s="7"/>
      <c r="F775" s="7"/>
      <c r="G775" s="7"/>
      <c r="H775" s="7"/>
      <c r="O775" s="6"/>
      <c r="R775" s="7"/>
      <c r="S775" s="6"/>
      <c r="T775" s="6"/>
      <c r="U775" s="7"/>
      <c r="V775" s="7"/>
    </row>
    <row r="776" spans="3:22" x14ac:dyDescent="0.2">
      <c r="C776" s="6"/>
      <c r="D776" s="6"/>
      <c r="E776" s="7"/>
      <c r="F776" s="7"/>
      <c r="G776" s="7"/>
      <c r="H776" s="7"/>
      <c r="O776" s="6"/>
      <c r="R776" s="7"/>
      <c r="S776" s="6"/>
      <c r="T776" s="6"/>
      <c r="U776" s="7"/>
      <c r="V776" s="7"/>
    </row>
    <row r="777" spans="3:22" x14ac:dyDescent="0.2">
      <c r="C777" s="6"/>
      <c r="D777" s="6"/>
      <c r="E777" s="7"/>
      <c r="F777" s="7"/>
      <c r="G777" s="7"/>
      <c r="H777" s="7"/>
      <c r="O777" s="6"/>
      <c r="R777" s="7"/>
      <c r="S777" s="6"/>
      <c r="T777" s="6"/>
      <c r="U777" s="7"/>
      <c r="V777" s="7"/>
    </row>
    <row r="778" spans="3:22" x14ac:dyDescent="0.2">
      <c r="C778" s="6"/>
      <c r="D778" s="6"/>
      <c r="E778" s="7"/>
      <c r="F778" s="7"/>
      <c r="G778" s="7"/>
      <c r="H778" s="7"/>
      <c r="O778" s="6"/>
      <c r="R778" s="7"/>
      <c r="S778" s="6"/>
      <c r="T778" s="6"/>
      <c r="U778" s="7"/>
      <c r="V778" s="7"/>
    </row>
    <row r="779" spans="3:22" x14ac:dyDescent="0.2">
      <c r="C779" s="6"/>
      <c r="D779" s="6"/>
      <c r="E779" s="7"/>
      <c r="F779" s="7"/>
      <c r="G779" s="7"/>
      <c r="H779" s="7"/>
      <c r="O779" s="6"/>
      <c r="R779" s="7"/>
      <c r="S779" s="6"/>
      <c r="T779" s="6"/>
      <c r="U779" s="7"/>
      <c r="V779" s="7"/>
    </row>
    <row r="780" spans="3:22" x14ac:dyDescent="0.2">
      <c r="C780" s="6"/>
      <c r="D780" s="6"/>
      <c r="E780" s="7"/>
      <c r="F780" s="7"/>
      <c r="G780" s="7"/>
      <c r="H780" s="7"/>
      <c r="O780" s="6"/>
      <c r="R780" s="7"/>
      <c r="S780" s="6"/>
      <c r="T780" s="6"/>
      <c r="U780" s="7"/>
      <c r="V780" s="7"/>
    </row>
    <row r="781" spans="3:22" x14ac:dyDescent="0.2">
      <c r="C781" s="6"/>
      <c r="D781" s="6"/>
      <c r="E781" s="7"/>
      <c r="F781" s="7"/>
      <c r="G781" s="7"/>
      <c r="H781" s="7"/>
      <c r="O781" s="6"/>
      <c r="R781" s="7"/>
      <c r="S781" s="6"/>
      <c r="T781" s="6"/>
      <c r="U781" s="7"/>
      <c r="V781" s="7"/>
    </row>
    <row r="782" spans="3:22" x14ac:dyDescent="0.2">
      <c r="C782" s="6"/>
      <c r="D782" s="6"/>
      <c r="E782" s="7"/>
      <c r="F782" s="7"/>
      <c r="G782" s="7"/>
      <c r="H782" s="7"/>
      <c r="O782" s="6"/>
      <c r="R782" s="7"/>
      <c r="S782" s="6"/>
      <c r="T782" s="6"/>
      <c r="U782" s="7"/>
      <c r="V782" s="7"/>
    </row>
    <row r="783" spans="3:22" x14ac:dyDescent="0.2">
      <c r="C783" s="6"/>
      <c r="D783" s="6"/>
      <c r="E783" s="7"/>
      <c r="F783" s="7"/>
      <c r="G783" s="7"/>
      <c r="H783" s="7"/>
      <c r="O783" s="6"/>
      <c r="R783" s="7"/>
      <c r="S783" s="6"/>
      <c r="T783" s="6"/>
      <c r="U783" s="7"/>
      <c r="V783" s="7"/>
    </row>
    <row r="784" spans="3:22" x14ac:dyDescent="0.2">
      <c r="C784" s="6"/>
      <c r="D784" s="6"/>
      <c r="E784" s="7"/>
      <c r="F784" s="7"/>
      <c r="G784" s="7"/>
      <c r="H784" s="7"/>
      <c r="O784" s="6"/>
      <c r="R784" s="7"/>
      <c r="S784" s="6"/>
      <c r="T784" s="6"/>
      <c r="U784" s="7"/>
      <c r="V784" s="7"/>
    </row>
    <row r="785" spans="3:22" x14ac:dyDescent="0.2">
      <c r="C785" s="6"/>
      <c r="D785" s="6"/>
      <c r="E785" s="7"/>
      <c r="F785" s="7"/>
      <c r="G785" s="7"/>
      <c r="H785" s="7"/>
      <c r="O785" s="6"/>
      <c r="R785" s="7"/>
      <c r="S785" s="6"/>
      <c r="T785" s="6"/>
      <c r="U785" s="7"/>
      <c r="V785" s="7"/>
    </row>
    <row r="786" spans="3:22" x14ac:dyDescent="0.2">
      <c r="C786" s="6"/>
      <c r="D786" s="6"/>
      <c r="E786" s="7"/>
      <c r="F786" s="7"/>
      <c r="G786" s="7"/>
      <c r="H786" s="7"/>
      <c r="O786" s="6"/>
      <c r="R786" s="7"/>
      <c r="S786" s="6"/>
      <c r="T786" s="6"/>
      <c r="U786" s="7"/>
      <c r="V786" s="7"/>
    </row>
    <row r="787" spans="3:22" x14ac:dyDescent="0.2">
      <c r="C787" s="6"/>
      <c r="D787" s="6"/>
      <c r="E787" s="7"/>
      <c r="F787" s="7"/>
      <c r="G787" s="7"/>
      <c r="H787" s="7"/>
      <c r="O787" s="6"/>
      <c r="R787" s="7"/>
      <c r="S787" s="6"/>
      <c r="T787" s="6"/>
      <c r="U787" s="7"/>
      <c r="V787" s="7"/>
    </row>
    <row r="788" spans="3:22" x14ac:dyDescent="0.2">
      <c r="C788" s="6"/>
      <c r="D788" s="6"/>
      <c r="E788" s="7"/>
      <c r="F788" s="7"/>
      <c r="G788" s="7"/>
      <c r="H788" s="7"/>
      <c r="O788" s="6"/>
      <c r="R788" s="7"/>
      <c r="S788" s="6"/>
      <c r="T788" s="6"/>
      <c r="U788" s="7"/>
      <c r="V788" s="7"/>
    </row>
    <row r="789" spans="3:22" x14ac:dyDescent="0.2">
      <c r="C789" s="6"/>
      <c r="D789" s="6"/>
      <c r="E789" s="7"/>
      <c r="F789" s="7"/>
      <c r="G789" s="7"/>
      <c r="H789" s="7"/>
      <c r="O789" s="6"/>
      <c r="R789" s="7"/>
      <c r="S789" s="6"/>
      <c r="T789" s="6"/>
      <c r="U789" s="7"/>
      <c r="V789" s="7"/>
    </row>
    <row r="790" spans="3:22" x14ac:dyDescent="0.2">
      <c r="C790" s="6"/>
      <c r="D790" s="6"/>
      <c r="E790" s="7"/>
      <c r="F790" s="7"/>
      <c r="G790" s="7"/>
      <c r="H790" s="7"/>
      <c r="O790" s="6"/>
      <c r="R790" s="7"/>
      <c r="S790" s="6"/>
      <c r="T790" s="6"/>
      <c r="U790" s="7"/>
      <c r="V790" s="7"/>
    </row>
    <row r="791" spans="3:22" x14ac:dyDescent="0.2">
      <c r="C791" s="6"/>
      <c r="D791" s="6"/>
      <c r="E791" s="7"/>
      <c r="F791" s="7"/>
      <c r="G791" s="7"/>
      <c r="H791" s="7"/>
      <c r="O791" s="6"/>
      <c r="R791" s="7"/>
      <c r="S791" s="6"/>
      <c r="T791" s="6"/>
      <c r="U791" s="7"/>
      <c r="V791" s="7"/>
    </row>
    <row r="792" spans="3:22" x14ac:dyDescent="0.2">
      <c r="C792" s="6"/>
      <c r="D792" s="6"/>
      <c r="E792" s="7"/>
      <c r="F792" s="7"/>
      <c r="G792" s="7"/>
      <c r="H792" s="7"/>
      <c r="O792" s="6"/>
      <c r="R792" s="7"/>
      <c r="S792" s="6"/>
      <c r="T792" s="6"/>
      <c r="U792" s="7"/>
      <c r="V792" s="7"/>
    </row>
    <row r="793" spans="3:22" x14ac:dyDescent="0.2">
      <c r="C793" s="6"/>
      <c r="D793" s="6"/>
      <c r="E793" s="7"/>
      <c r="F793" s="7"/>
      <c r="G793" s="7"/>
      <c r="H793" s="7"/>
      <c r="O793" s="6"/>
      <c r="R793" s="7"/>
      <c r="S793" s="6"/>
      <c r="T793" s="6"/>
      <c r="U793" s="7"/>
      <c r="V793" s="7"/>
    </row>
    <row r="794" spans="3:22" x14ac:dyDescent="0.2">
      <c r="C794" s="6"/>
      <c r="D794" s="6"/>
      <c r="E794" s="7"/>
      <c r="F794" s="7"/>
      <c r="G794" s="7"/>
      <c r="H794" s="7"/>
      <c r="O794" s="6"/>
      <c r="R794" s="7"/>
      <c r="S794" s="6"/>
      <c r="T794" s="6"/>
      <c r="U794" s="7"/>
      <c r="V794" s="7"/>
    </row>
    <row r="795" spans="3:22" x14ac:dyDescent="0.2">
      <c r="C795" s="6"/>
      <c r="D795" s="6"/>
      <c r="E795" s="7"/>
      <c r="F795" s="7"/>
      <c r="G795" s="7"/>
      <c r="H795" s="7"/>
      <c r="O795" s="6"/>
      <c r="R795" s="7"/>
      <c r="S795" s="6"/>
      <c r="T795" s="6"/>
      <c r="U795" s="7"/>
      <c r="V795" s="7"/>
    </row>
    <row r="796" spans="3:22" x14ac:dyDescent="0.2">
      <c r="C796" s="6"/>
      <c r="D796" s="6"/>
      <c r="E796" s="7"/>
      <c r="F796" s="7"/>
      <c r="G796" s="7"/>
      <c r="H796" s="7"/>
      <c r="O796" s="6"/>
      <c r="R796" s="7"/>
      <c r="S796" s="6"/>
      <c r="T796" s="6"/>
      <c r="U796" s="7"/>
      <c r="V796" s="7"/>
    </row>
    <row r="797" spans="3:22" x14ac:dyDescent="0.2">
      <c r="C797" s="6"/>
      <c r="D797" s="6"/>
      <c r="E797" s="7"/>
      <c r="F797" s="7"/>
      <c r="G797" s="7"/>
      <c r="H797" s="7"/>
      <c r="O797" s="6"/>
      <c r="R797" s="7"/>
      <c r="S797" s="6"/>
      <c r="T797" s="6"/>
      <c r="U797" s="7"/>
      <c r="V797" s="7"/>
    </row>
    <row r="798" spans="3:22" x14ac:dyDescent="0.2">
      <c r="C798" s="6"/>
      <c r="D798" s="6"/>
      <c r="E798" s="7"/>
      <c r="F798" s="7"/>
      <c r="G798" s="7"/>
      <c r="H798" s="7"/>
      <c r="O798" s="6"/>
      <c r="R798" s="7"/>
      <c r="S798" s="6"/>
      <c r="T798" s="6"/>
      <c r="U798" s="7"/>
      <c r="V798" s="7"/>
    </row>
    <row r="799" spans="3:22" x14ac:dyDescent="0.2">
      <c r="C799" s="6"/>
      <c r="D799" s="6"/>
      <c r="E799" s="7"/>
      <c r="F799" s="7"/>
      <c r="G799" s="7"/>
      <c r="H799" s="7"/>
      <c r="O799" s="6"/>
      <c r="R799" s="7"/>
      <c r="S799" s="6"/>
      <c r="T799" s="6"/>
      <c r="U799" s="7"/>
      <c r="V799" s="7"/>
    </row>
    <row r="800" spans="3:22" x14ac:dyDescent="0.2">
      <c r="C800" s="6"/>
      <c r="D800" s="6"/>
      <c r="E800" s="7"/>
      <c r="F800" s="7"/>
      <c r="G800" s="7"/>
      <c r="H800" s="7"/>
      <c r="O800" s="6"/>
      <c r="R800" s="7"/>
      <c r="S800" s="6"/>
      <c r="T800" s="6"/>
      <c r="U800" s="7"/>
      <c r="V800" s="7"/>
    </row>
    <row r="801" spans="3:22" x14ac:dyDescent="0.2">
      <c r="C801" s="6"/>
      <c r="D801" s="6"/>
      <c r="E801" s="7"/>
      <c r="F801" s="7"/>
      <c r="G801" s="7"/>
      <c r="H801" s="7"/>
      <c r="O801" s="6"/>
      <c r="R801" s="7"/>
      <c r="S801" s="6"/>
      <c r="T801" s="6"/>
      <c r="U801" s="7"/>
      <c r="V801" s="7"/>
    </row>
    <row r="802" spans="3:22" x14ac:dyDescent="0.2">
      <c r="C802" s="6"/>
      <c r="D802" s="6"/>
      <c r="E802" s="7"/>
      <c r="F802" s="7"/>
      <c r="G802" s="7"/>
      <c r="H802" s="7"/>
      <c r="O802" s="6"/>
      <c r="R802" s="7"/>
      <c r="S802" s="6"/>
      <c r="T802" s="6"/>
      <c r="U802" s="7"/>
      <c r="V802" s="7"/>
    </row>
    <row r="803" spans="3:22" x14ac:dyDescent="0.2">
      <c r="C803" s="6"/>
      <c r="D803" s="6"/>
      <c r="E803" s="7"/>
      <c r="F803" s="7"/>
      <c r="G803" s="7"/>
      <c r="H803" s="7"/>
      <c r="O803" s="6"/>
      <c r="R803" s="7"/>
      <c r="S803" s="6"/>
      <c r="T803" s="6"/>
      <c r="U803" s="7"/>
      <c r="V803" s="7"/>
    </row>
    <row r="804" spans="3:22" x14ac:dyDescent="0.2">
      <c r="C804" s="6"/>
      <c r="D804" s="6"/>
      <c r="E804" s="7"/>
      <c r="F804" s="7"/>
      <c r="G804" s="7"/>
      <c r="H804" s="7"/>
      <c r="O804" s="6"/>
      <c r="R804" s="7"/>
      <c r="S804" s="6"/>
      <c r="T804" s="6"/>
      <c r="U804" s="7"/>
      <c r="V804" s="7"/>
    </row>
    <row r="805" spans="3:22" x14ac:dyDescent="0.2">
      <c r="C805" s="6"/>
      <c r="D805" s="6"/>
      <c r="E805" s="7"/>
      <c r="F805" s="7"/>
      <c r="G805" s="7"/>
      <c r="H805" s="7"/>
      <c r="O805" s="6"/>
      <c r="R805" s="7"/>
      <c r="S805" s="6"/>
      <c r="T805" s="6"/>
      <c r="U805" s="7"/>
      <c r="V805" s="7"/>
    </row>
    <row r="806" spans="3:22" x14ac:dyDescent="0.2">
      <c r="C806" s="6"/>
      <c r="D806" s="6"/>
      <c r="E806" s="7"/>
      <c r="F806" s="7"/>
      <c r="G806" s="7"/>
      <c r="H806" s="7"/>
      <c r="O806" s="6"/>
      <c r="R806" s="7"/>
      <c r="S806" s="6"/>
      <c r="T806" s="6"/>
      <c r="U806" s="7"/>
      <c r="V806" s="7"/>
    </row>
    <row r="807" spans="3:22" x14ac:dyDescent="0.2">
      <c r="C807" s="6"/>
      <c r="D807" s="6"/>
      <c r="E807" s="7"/>
      <c r="F807" s="7"/>
      <c r="G807" s="7"/>
      <c r="H807" s="7"/>
      <c r="O807" s="6"/>
      <c r="R807" s="7"/>
      <c r="S807" s="6"/>
      <c r="T807" s="6"/>
      <c r="U807" s="7"/>
      <c r="V807" s="7"/>
    </row>
    <row r="808" spans="3:22" x14ac:dyDescent="0.2">
      <c r="C808" s="6"/>
      <c r="D808" s="6"/>
      <c r="E808" s="7"/>
      <c r="F808" s="7"/>
      <c r="G808" s="7"/>
      <c r="H808" s="7"/>
      <c r="O808" s="6"/>
      <c r="R808" s="7"/>
      <c r="S808" s="6"/>
      <c r="T808" s="6"/>
      <c r="U808" s="7"/>
      <c r="V808" s="7"/>
    </row>
    <row r="809" spans="3:22" x14ac:dyDescent="0.2">
      <c r="C809" s="6"/>
      <c r="D809" s="6"/>
      <c r="E809" s="7"/>
      <c r="F809" s="7"/>
      <c r="G809" s="7"/>
      <c r="H809" s="7"/>
      <c r="O809" s="6"/>
      <c r="R809" s="7"/>
      <c r="S809" s="6"/>
      <c r="T809" s="6"/>
      <c r="U809" s="7"/>
      <c r="V809" s="7"/>
    </row>
    <row r="810" spans="3:22" x14ac:dyDescent="0.2">
      <c r="C810" s="6"/>
      <c r="D810" s="6"/>
      <c r="E810" s="7"/>
      <c r="F810" s="7"/>
      <c r="G810" s="7"/>
      <c r="H810" s="7"/>
      <c r="O810" s="6"/>
      <c r="R810" s="7"/>
      <c r="S810" s="6"/>
      <c r="T810" s="6"/>
      <c r="U810" s="7"/>
      <c r="V810" s="7"/>
    </row>
    <row r="811" spans="3:22" x14ac:dyDescent="0.2">
      <c r="C811" s="6"/>
      <c r="D811" s="6"/>
      <c r="E811" s="7"/>
      <c r="F811" s="7"/>
      <c r="G811" s="7"/>
      <c r="H811" s="7"/>
      <c r="O811" s="6"/>
      <c r="R811" s="7"/>
      <c r="S811" s="6"/>
      <c r="T811" s="6"/>
      <c r="U811" s="7"/>
      <c r="V811" s="7"/>
    </row>
    <row r="812" spans="3:22" x14ac:dyDescent="0.2">
      <c r="C812" s="6"/>
      <c r="D812" s="6"/>
      <c r="E812" s="7"/>
      <c r="F812" s="7"/>
      <c r="G812" s="7"/>
      <c r="H812" s="7"/>
      <c r="O812" s="6"/>
      <c r="R812" s="7"/>
      <c r="S812" s="6"/>
      <c r="T812" s="6"/>
      <c r="U812" s="7"/>
      <c r="V812" s="7"/>
    </row>
    <row r="813" spans="3:22" x14ac:dyDescent="0.2">
      <c r="C813" s="6"/>
      <c r="D813" s="6"/>
      <c r="E813" s="7"/>
      <c r="F813" s="7"/>
      <c r="G813" s="7"/>
      <c r="H813" s="7"/>
      <c r="O813" s="6"/>
      <c r="R813" s="7"/>
      <c r="S813" s="6"/>
      <c r="T813" s="6"/>
      <c r="U813" s="7"/>
      <c r="V813" s="7"/>
    </row>
    <row r="814" spans="3:22" x14ac:dyDescent="0.2">
      <c r="C814" s="6"/>
      <c r="D814" s="6"/>
      <c r="E814" s="7"/>
      <c r="F814" s="7"/>
      <c r="G814" s="7"/>
      <c r="H814" s="7"/>
      <c r="O814" s="6"/>
      <c r="R814" s="7"/>
      <c r="S814" s="6"/>
      <c r="T814" s="6"/>
      <c r="U814" s="7"/>
      <c r="V814" s="7"/>
    </row>
    <row r="815" spans="3:22" x14ac:dyDescent="0.2">
      <c r="C815" s="6"/>
      <c r="D815" s="6"/>
      <c r="E815" s="7"/>
      <c r="F815" s="7"/>
      <c r="G815" s="7"/>
      <c r="H815" s="7"/>
      <c r="O815" s="6"/>
      <c r="R815" s="7"/>
      <c r="S815" s="6"/>
      <c r="T815" s="6"/>
      <c r="U815" s="7"/>
      <c r="V815" s="7"/>
    </row>
    <row r="816" spans="3:22" x14ac:dyDescent="0.2">
      <c r="C816" s="6"/>
      <c r="D816" s="6"/>
      <c r="E816" s="7"/>
      <c r="F816" s="7"/>
      <c r="G816" s="7"/>
      <c r="H816" s="7"/>
      <c r="O816" s="6"/>
      <c r="R816" s="7"/>
      <c r="S816" s="6"/>
      <c r="T816" s="6"/>
      <c r="U816" s="7"/>
      <c r="V816" s="7"/>
    </row>
    <row r="817" spans="3:22" x14ac:dyDescent="0.2">
      <c r="C817" s="6"/>
      <c r="D817" s="6"/>
      <c r="E817" s="7"/>
      <c r="F817" s="7"/>
      <c r="G817" s="7"/>
      <c r="H817" s="7"/>
      <c r="O817" s="6"/>
      <c r="R817" s="7"/>
      <c r="S817" s="6"/>
      <c r="T817" s="6"/>
      <c r="U817" s="7"/>
      <c r="V817" s="7"/>
    </row>
    <row r="818" spans="3:22" x14ac:dyDescent="0.2">
      <c r="C818" s="6"/>
      <c r="D818" s="6"/>
      <c r="E818" s="7"/>
      <c r="F818" s="7"/>
      <c r="G818" s="7"/>
      <c r="H818" s="7"/>
      <c r="O818" s="6"/>
      <c r="R818" s="7"/>
      <c r="S818" s="6"/>
      <c r="T818" s="6"/>
      <c r="U818" s="7"/>
      <c r="V818" s="7"/>
    </row>
    <row r="819" spans="3:22" x14ac:dyDescent="0.2">
      <c r="C819" s="6"/>
      <c r="D819" s="6"/>
      <c r="E819" s="7"/>
      <c r="F819" s="7"/>
      <c r="G819" s="7"/>
      <c r="H819" s="7"/>
      <c r="O819" s="6"/>
      <c r="R819" s="7"/>
      <c r="S819" s="6"/>
      <c r="T819" s="6"/>
      <c r="U819" s="7"/>
      <c r="V819" s="7"/>
    </row>
    <row r="820" spans="3:22" x14ac:dyDescent="0.2">
      <c r="C820" s="6"/>
      <c r="D820" s="6"/>
      <c r="E820" s="7"/>
      <c r="F820" s="7"/>
      <c r="G820" s="7"/>
      <c r="H820" s="7"/>
      <c r="O820" s="6"/>
      <c r="R820" s="7"/>
      <c r="S820" s="6"/>
      <c r="T820" s="6"/>
      <c r="U820" s="7"/>
      <c r="V820" s="7"/>
    </row>
    <row r="821" spans="3:22" x14ac:dyDescent="0.2">
      <c r="C821" s="6"/>
      <c r="D821" s="6"/>
      <c r="E821" s="7"/>
      <c r="F821" s="7"/>
      <c r="G821" s="7"/>
      <c r="H821" s="7"/>
      <c r="O821" s="6"/>
      <c r="R821" s="7"/>
      <c r="S821" s="6"/>
      <c r="T821" s="6"/>
      <c r="U821" s="7"/>
      <c r="V821" s="7"/>
    </row>
    <row r="822" spans="3:22" x14ac:dyDescent="0.2">
      <c r="C822" s="6"/>
      <c r="D822" s="6"/>
      <c r="E822" s="7"/>
      <c r="F822" s="7"/>
      <c r="G822" s="7"/>
      <c r="H822" s="7"/>
      <c r="O822" s="6"/>
      <c r="R822" s="7"/>
      <c r="S822" s="6"/>
      <c r="T822" s="6"/>
      <c r="U822" s="7"/>
      <c r="V822" s="7"/>
    </row>
    <row r="823" spans="3:22" x14ac:dyDescent="0.2">
      <c r="C823" s="6"/>
      <c r="D823" s="6"/>
      <c r="E823" s="7"/>
      <c r="F823" s="7"/>
      <c r="G823" s="7"/>
      <c r="H823" s="7"/>
      <c r="O823" s="6"/>
      <c r="R823" s="7"/>
      <c r="S823" s="6"/>
      <c r="T823" s="6"/>
      <c r="U823" s="7"/>
      <c r="V823" s="7"/>
    </row>
    <row r="824" spans="3:22" x14ac:dyDescent="0.2">
      <c r="C824" s="6"/>
      <c r="D824" s="6"/>
      <c r="E824" s="7"/>
      <c r="F824" s="7"/>
      <c r="G824" s="7"/>
      <c r="H824" s="7"/>
      <c r="O824" s="6"/>
      <c r="R824" s="7"/>
      <c r="S824" s="6"/>
      <c r="T824" s="6"/>
      <c r="U824" s="7"/>
      <c r="V824" s="7"/>
    </row>
    <row r="825" spans="3:22" x14ac:dyDescent="0.2">
      <c r="C825" s="6"/>
      <c r="D825" s="6"/>
      <c r="E825" s="7"/>
      <c r="F825" s="7"/>
      <c r="G825" s="7"/>
      <c r="H825" s="7"/>
      <c r="O825" s="6"/>
      <c r="R825" s="7"/>
      <c r="S825" s="6"/>
      <c r="T825" s="6"/>
      <c r="U825" s="7"/>
      <c r="V825" s="7"/>
    </row>
    <row r="826" spans="3:22" x14ac:dyDescent="0.2">
      <c r="C826" s="6"/>
      <c r="D826" s="6"/>
      <c r="E826" s="7"/>
      <c r="F826" s="7"/>
      <c r="G826" s="7"/>
      <c r="H826" s="7"/>
      <c r="O826" s="6"/>
      <c r="R826" s="7"/>
      <c r="S826" s="6"/>
      <c r="T826" s="6"/>
      <c r="U826" s="7"/>
      <c r="V826" s="7"/>
    </row>
    <row r="827" spans="3:22" x14ac:dyDescent="0.2">
      <c r="C827" s="6"/>
      <c r="D827" s="6"/>
      <c r="E827" s="7"/>
      <c r="F827" s="7"/>
      <c r="G827" s="7"/>
      <c r="H827" s="7"/>
      <c r="O827" s="6"/>
      <c r="R827" s="7"/>
      <c r="S827" s="6"/>
      <c r="T827" s="6"/>
      <c r="U827" s="7"/>
      <c r="V827" s="7"/>
    </row>
    <row r="828" spans="3:22" x14ac:dyDescent="0.2">
      <c r="C828" s="6"/>
      <c r="D828" s="6"/>
      <c r="E828" s="7"/>
      <c r="F828" s="7"/>
      <c r="G828" s="7"/>
      <c r="H828" s="7"/>
      <c r="O828" s="6"/>
      <c r="R828" s="7"/>
      <c r="S828" s="6"/>
      <c r="T828" s="6"/>
      <c r="U828" s="7"/>
      <c r="V828" s="7"/>
    </row>
    <row r="829" spans="3:22" x14ac:dyDescent="0.2">
      <c r="C829" s="6"/>
      <c r="D829" s="6"/>
      <c r="E829" s="7"/>
      <c r="F829" s="7"/>
      <c r="G829" s="7"/>
      <c r="H829" s="7"/>
      <c r="O829" s="6"/>
      <c r="R829" s="7"/>
      <c r="S829" s="6"/>
      <c r="T829" s="6"/>
      <c r="U829" s="7"/>
      <c r="V829" s="7"/>
    </row>
    <row r="830" spans="3:22" x14ac:dyDescent="0.2">
      <c r="C830" s="6"/>
      <c r="D830" s="6"/>
      <c r="E830" s="7"/>
      <c r="F830" s="7"/>
      <c r="G830" s="7"/>
      <c r="H830" s="7"/>
      <c r="O830" s="6"/>
      <c r="R830" s="7"/>
      <c r="S830" s="6"/>
      <c r="T830" s="6"/>
      <c r="U830" s="7"/>
      <c r="V830" s="7"/>
    </row>
    <row r="831" spans="3:22" x14ac:dyDescent="0.2">
      <c r="C831" s="6"/>
      <c r="D831" s="6"/>
      <c r="E831" s="7"/>
      <c r="F831" s="7"/>
      <c r="G831" s="7"/>
      <c r="H831" s="7"/>
      <c r="O831" s="6"/>
      <c r="R831" s="7"/>
      <c r="S831" s="6"/>
      <c r="T831" s="6"/>
      <c r="U831" s="7"/>
      <c r="V831" s="7"/>
    </row>
    <row r="832" spans="3:22" x14ac:dyDescent="0.2">
      <c r="C832" s="6"/>
      <c r="D832" s="6"/>
      <c r="E832" s="7"/>
      <c r="F832" s="7"/>
      <c r="G832" s="7"/>
      <c r="H832" s="7"/>
      <c r="O832" s="6"/>
      <c r="R832" s="7"/>
      <c r="S832" s="6"/>
      <c r="T832" s="6"/>
      <c r="U832" s="7"/>
      <c r="V832" s="7"/>
    </row>
    <row r="833" spans="3:22" x14ac:dyDescent="0.2">
      <c r="C833" s="6"/>
      <c r="D833" s="6"/>
      <c r="E833" s="7"/>
      <c r="F833" s="7"/>
      <c r="G833" s="7"/>
      <c r="H833" s="7"/>
      <c r="O833" s="6"/>
      <c r="R833" s="7"/>
      <c r="S833" s="6"/>
      <c r="T833" s="6"/>
      <c r="U833" s="7"/>
      <c r="V833" s="7"/>
    </row>
    <row r="834" spans="3:22" x14ac:dyDescent="0.2">
      <c r="C834" s="6"/>
      <c r="D834" s="6"/>
      <c r="E834" s="7"/>
      <c r="F834" s="7"/>
      <c r="G834" s="7"/>
      <c r="H834" s="7"/>
      <c r="O834" s="6"/>
      <c r="R834" s="7"/>
      <c r="S834" s="6"/>
      <c r="T834" s="6"/>
      <c r="U834" s="7"/>
      <c r="V834" s="7"/>
    </row>
    <row r="835" spans="3:22" x14ac:dyDescent="0.2">
      <c r="C835" s="6"/>
      <c r="D835" s="6"/>
      <c r="E835" s="7"/>
      <c r="F835" s="7"/>
      <c r="G835" s="7"/>
      <c r="H835" s="7"/>
      <c r="O835" s="6"/>
      <c r="R835" s="7"/>
      <c r="S835" s="6"/>
      <c r="T835" s="6"/>
      <c r="U835" s="7"/>
      <c r="V835" s="7"/>
    </row>
    <row r="836" spans="3:22" x14ac:dyDescent="0.2">
      <c r="C836" s="6"/>
      <c r="D836" s="6"/>
      <c r="E836" s="7"/>
      <c r="F836" s="7"/>
      <c r="G836" s="7"/>
      <c r="H836" s="7"/>
      <c r="O836" s="6"/>
      <c r="R836" s="7"/>
      <c r="S836" s="6"/>
      <c r="T836" s="6"/>
      <c r="U836" s="7"/>
      <c r="V836" s="7"/>
    </row>
    <row r="837" spans="3:22" x14ac:dyDescent="0.2">
      <c r="C837" s="6"/>
      <c r="D837" s="6"/>
      <c r="E837" s="7"/>
      <c r="F837" s="7"/>
      <c r="G837" s="7"/>
      <c r="H837" s="7"/>
      <c r="O837" s="6"/>
      <c r="R837" s="7"/>
      <c r="S837" s="6"/>
      <c r="T837" s="6"/>
      <c r="U837" s="7"/>
      <c r="V837" s="7"/>
    </row>
    <row r="838" spans="3:22" x14ac:dyDescent="0.2">
      <c r="C838" s="6"/>
      <c r="D838" s="6"/>
      <c r="E838" s="7"/>
      <c r="F838" s="7"/>
      <c r="G838" s="7"/>
      <c r="H838" s="7"/>
      <c r="O838" s="6"/>
      <c r="R838" s="7"/>
      <c r="S838" s="6"/>
      <c r="T838" s="6"/>
      <c r="U838" s="7"/>
      <c r="V838" s="7"/>
    </row>
    <row r="839" spans="3:22" x14ac:dyDescent="0.2">
      <c r="C839" s="6"/>
      <c r="D839" s="6"/>
      <c r="E839" s="7"/>
      <c r="F839" s="7"/>
      <c r="G839" s="7"/>
      <c r="H839" s="7"/>
      <c r="O839" s="6"/>
      <c r="R839" s="7"/>
      <c r="S839" s="6"/>
      <c r="T839" s="6"/>
      <c r="U839" s="7"/>
      <c r="V839" s="7"/>
    </row>
    <row r="840" spans="3:22" x14ac:dyDescent="0.2">
      <c r="C840" s="6"/>
      <c r="D840" s="6"/>
      <c r="E840" s="7"/>
      <c r="F840" s="7"/>
      <c r="G840" s="7"/>
      <c r="H840" s="7"/>
      <c r="O840" s="6"/>
      <c r="R840" s="7"/>
      <c r="S840" s="6"/>
      <c r="T840" s="6"/>
      <c r="U840" s="7"/>
      <c r="V840" s="7"/>
    </row>
    <row r="841" spans="3:22" x14ac:dyDescent="0.2">
      <c r="C841" s="6"/>
      <c r="D841" s="6"/>
      <c r="E841" s="7"/>
      <c r="F841" s="7"/>
      <c r="G841" s="7"/>
      <c r="H841" s="7"/>
      <c r="O841" s="6"/>
      <c r="R841" s="7"/>
      <c r="S841" s="6"/>
      <c r="T841" s="6"/>
      <c r="U841" s="7"/>
      <c r="V841" s="7"/>
    </row>
    <row r="842" spans="3:22" x14ac:dyDescent="0.2">
      <c r="C842" s="6"/>
      <c r="D842" s="6"/>
      <c r="E842" s="7"/>
      <c r="F842" s="7"/>
      <c r="G842" s="7"/>
      <c r="H842" s="7"/>
      <c r="O842" s="6"/>
      <c r="R842" s="7"/>
      <c r="S842" s="6"/>
      <c r="T842" s="6"/>
      <c r="U842" s="7"/>
      <c r="V842" s="7"/>
    </row>
    <row r="843" spans="3:22" x14ac:dyDescent="0.2">
      <c r="C843" s="6"/>
      <c r="D843" s="6"/>
      <c r="E843" s="7"/>
      <c r="F843" s="7"/>
      <c r="G843" s="7"/>
      <c r="H843" s="7"/>
      <c r="O843" s="6"/>
      <c r="R843" s="7"/>
      <c r="S843" s="6"/>
      <c r="T843" s="6"/>
      <c r="U843" s="7"/>
      <c r="V843" s="7"/>
    </row>
    <row r="844" spans="3:22" x14ac:dyDescent="0.2">
      <c r="C844" s="6"/>
      <c r="D844" s="6"/>
      <c r="E844" s="7"/>
      <c r="F844" s="7"/>
      <c r="G844" s="7"/>
      <c r="H844" s="7"/>
      <c r="O844" s="6"/>
      <c r="R844" s="7"/>
      <c r="S844" s="6"/>
      <c r="T844" s="6"/>
      <c r="U844" s="7"/>
      <c r="V844" s="7"/>
    </row>
    <row r="845" spans="3:22" x14ac:dyDescent="0.2">
      <c r="C845" s="6"/>
      <c r="D845" s="6"/>
      <c r="E845" s="7"/>
      <c r="F845" s="7"/>
      <c r="G845" s="7"/>
      <c r="H845" s="7"/>
      <c r="O845" s="6"/>
      <c r="R845" s="7"/>
      <c r="S845" s="6"/>
      <c r="T845" s="6"/>
      <c r="U845" s="7"/>
      <c r="V845" s="7"/>
    </row>
    <row r="846" spans="3:22" x14ac:dyDescent="0.2">
      <c r="C846" s="6"/>
      <c r="D846" s="6"/>
      <c r="E846" s="7"/>
      <c r="F846" s="7"/>
      <c r="G846" s="7"/>
      <c r="H846" s="7"/>
      <c r="O846" s="6"/>
      <c r="R846" s="7"/>
      <c r="S846" s="6"/>
      <c r="T846" s="6"/>
      <c r="U846" s="7"/>
      <c r="V846" s="7"/>
    </row>
    <row r="847" spans="3:22" x14ac:dyDescent="0.2">
      <c r="C847" s="6"/>
      <c r="D847" s="6"/>
      <c r="E847" s="7"/>
      <c r="F847" s="7"/>
      <c r="G847" s="7"/>
      <c r="H847" s="7"/>
      <c r="O847" s="6"/>
      <c r="R847" s="7"/>
      <c r="S847" s="6"/>
      <c r="T847" s="6"/>
      <c r="U847" s="7"/>
      <c r="V847" s="7"/>
    </row>
    <row r="848" spans="3:22" x14ac:dyDescent="0.2">
      <c r="C848" s="6"/>
      <c r="D848" s="6"/>
      <c r="E848" s="7"/>
      <c r="F848" s="7"/>
      <c r="G848" s="7"/>
      <c r="H848" s="7"/>
      <c r="O848" s="6"/>
      <c r="R848" s="7"/>
      <c r="S848" s="6"/>
      <c r="T848" s="6"/>
      <c r="U848" s="7"/>
      <c r="V848" s="7"/>
    </row>
    <row r="849" spans="3:22" x14ac:dyDescent="0.2">
      <c r="C849" s="6"/>
      <c r="D849" s="6"/>
      <c r="E849" s="7"/>
      <c r="F849" s="7"/>
      <c r="G849" s="7"/>
      <c r="H849" s="7"/>
      <c r="O849" s="6"/>
      <c r="R849" s="7"/>
      <c r="S849" s="6"/>
      <c r="T849" s="6"/>
      <c r="U849" s="7"/>
      <c r="V849" s="7"/>
    </row>
    <row r="850" spans="3:22" x14ac:dyDescent="0.2">
      <c r="C850" s="6"/>
      <c r="D850" s="6"/>
      <c r="E850" s="7"/>
      <c r="F850" s="7"/>
      <c r="G850" s="7"/>
      <c r="H850" s="7"/>
      <c r="O850" s="6"/>
      <c r="R850" s="7"/>
      <c r="S850" s="6"/>
      <c r="T850" s="6"/>
      <c r="U850" s="7"/>
      <c r="V850" s="7"/>
    </row>
    <row r="851" spans="3:22" x14ac:dyDescent="0.2">
      <c r="C851" s="6"/>
      <c r="D851" s="6"/>
      <c r="E851" s="7"/>
      <c r="F851" s="7"/>
      <c r="G851" s="7"/>
      <c r="H851" s="7"/>
      <c r="O851" s="6"/>
      <c r="R851" s="7"/>
      <c r="S851" s="6"/>
      <c r="T851" s="6"/>
      <c r="U851" s="7"/>
      <c r="V851" s="7"/>
    </row>
    <row r="852" spans="3:22" x14ac:dyDescent="0.2">
      <c r="C852" s="6"/>
      <c r="D852" s="6"/>
      <c r="E852" s="7"/>
      <c r="F852" s="7"/>
      <c r="G852" s="7"/>
      <c r="H852" s="7"/>
      <c r="O852" s="6"/>
      <c r="R852" s="7"/>
      <c r="S852" s="6"/>
      <c r="T852" s="6"/>
      <c r="U852" s="7"/>
      <c r="V852" s="7"/>
    </row>
    <row r="853" spans="3:22" x14ac:dyDescent="0.2">
      <c r="C853" s="6"/>
      <c r="D853" s="6"/>
      <c r="E853" s="7"/>
      <c r="F853" s="7"/>
      <c r="G853" s="7"/>
      <c r="H853" s="7"/>
      <c r="O853" s="6"/>
      <c r="R853" s="7"/>
      <c r="S853" s="6"/>
      <c r="T853" s="6"/>
      <c r="U853" s="7"/>
      <c r="V853" s="7"/>
    </row>
    <row r="854" spans="3:22" x14ac:dyDescent="0.2">
      <c r="C854" s="6"/>
      <c r="D854" s="6"/>
      <c r="E854" s="7"/>
      <c r="F854" s="7"/>
      <c r="G854" s="7"/>
      <c r="H854" s="7"/>
      <c r="O854" s="6"/>
      <c r="R854" s="7"/>
      <c r="S854" s="6"/>
      <c r="T854" s="6"/>
      <c r="U854" s="7"/>
      <c r="V854" s="7"/>
    </row>
    <row r="855" spans="3:22" x14ac:dyDescent="0.2">
      <c r="C855" s="6"/>
      <c r="D855" s="6"/>
      <c r="E855" s="7"/>
      <c r="F855" s="7"/>
      <c r="G855" s="7"/>
      <c r="H855" s="7"/>
      <c r="O855" s="6"/>
      <c r="R855" s="7"/>
      <c r="S855" s="6"/>
      <c r="T855" s="6"/>
      <c r="U855" s="7"/>
      <c r="V855" s="7"/>
    </row>
    <row r="856" spans="3:22" x14ac:dyDescent="0.2">
      <c r="C856" s="6"/>
      <c r="D856" s="6"/>
      <c r="E856" s="7"/>
      <c r="F856" s="7"/>
      <c r="G856" s="7"/>
      <c r="H856" s="7"/>
      <c r="O856" s="6"/>
      <c r="R856" s="7"/>
      <c r="S856" s="6"/>
      <c r="T856" s="6"/>
      <c r="U856" s="7"/>
      <c r="V856" s="7"/>
    </row>
    <row r="857" spans="3:22" x14ac:dyDescent="0.2">
      <c r="C857" s="6"/>
      <c r="D857" s="6"/>
      <c r="E857" s="7"/>
      <c r="F857" s="7"/>
      <c r="G857" s="7"/>
      <c r="H857" s="7"/>
      <c r="O857" s="6"/>
      <c r="R857" s="7"/>
      <c r="S857" s="6"/>
      <c r="T857" s="6"/>
      <c r="U857" s="7"/>
      <c r="V857" s="7"/>
    </row>
    <row r="858" spans="3:22" x14ac:dyDescent="0.2">
      <c r="C858" s="6"/>
      <c r="D858" s="6"/>
      <c r="E858" s="7"/>
      <c r="F858" s="7"/>
      <c r="G858" s="7"/>
      <c r="H858" s="7"/>
      <c r="O858" s="6"/>
      <c r="R858" s="7"/>
      <c r="S858" s="6"/>
      <c r="T858" s="6"/>
      <c r="U858" s="7"/>
      <c r="V858" s="7"/>
    </row>
    <row r="859" spans="3:22" x14ac:dyDescent="0.2">
      <c r="C859" s="6"/>
      <c r="D859" s="6"/>
      <c r="E859" s="7"/>
      <c r="F859" s="7"/>
      <c r="G859" s="7"/>
      <c r="H859" s="7"/>
      <c r="O859" s="6"/>
      <c r="R859" s="7"/>
      <c r="S859" s="6"/>
      <c r="T859" s="6"/>
      <c r="U859" s="7"/>
      <c r="V859" s="7"/>
    </row>
    <row r="860" spans="3:22" x14ac:dyDescent="0.2">
      <c r="C860" s="6"/>
      <c r="D860" s="6"/>
      <c r="E860" s="7"/>
      <c r="F860" s="7"/>
      <c r="G860" s="7"/>
      <c r="H860" s="7"/>
      <c r="O860" s="6"/>
      <c r="R860" s="7"/>
      <c r="S860" s="6"/>
      <c r="T860" s="6"/>
      <c r="U860" s="7"/>
      <c r="V860" s="7"/>
    </row>
    <row r="861" spans="3:22" x14ac:dyDescent="0.2">
      <c r="C861" s="6"/>
      <c r="D861" s="6"/>
      <c r="E861" s="7"/>
      <c r="F861" s="7"/>
      <c r="G861" s="7"/>
      <c r="H861" s="7"/>
      <c r="O861" s="6"/>
      <c r="R861" s="7"/>
      <c r="S861" s="6"/>
      <c r="T861" s="6"/>
      <c r="U861" s="7"/>
      <c r="V861" s="7"/>
    </row>
    <row r="862" spans="3:22" x14ac:dyDescent="0.2">
      <c r="C862" s="6"/>
      <c r="D862" s="6"/>
      <c r="E862" s="7"/>
      <c r="F862" s="7"/>
      <c r="G862" s="7"/>
      <c r="H862" s="7"/>
      <c r="O862" s="6"/>
      <c r="R862" s="7"/>
      <c r="S862" s="6"/>
      <c r="T862" s="6"/>
      <c r="U862" s="7"/>
      <c r="V862" s="7"/>
    </row>
    <row r="863" spans="3:22" x14ac:dyDescent="0.2">
      <c r="C863" s="6"/>
      <c r="D863" s="6"/>
      <c r="E863" s="7"/>
      <c r="F863" s="7"/>
      <c r="G863" s="7"/>
      <c r="H863" s="7"/>
      <c r="O863" s="6"/>
      <c r="R863" s="7"/>
      <c r="S863" s="6"/>
      <c r="T863" s="6"/>
      <c r="U863" s="7"/>
      <c r="V863" s="7"/>
    </row>
    <row r="864" spans="3:22" x14ac:dyDescent="0.2">
      <c r="C864" s="6"/>
      <c r="D864" s="6"/>
      <c r="E864" s="7"/>
      <c r="F864" s="7"/>
      <c r="G864" s="7"/>
      <c r="H864" s="7"/>
      <c r="O864" s="6"/>
      <c r="R864" s="7"/>
      <c r="S864" s="6"/>
      <c r="T864" s="6"/>
      <c r="U864" s="7"/>
      <c r="V864" s="7"/>
    </row>
    <row r="865" spans="3:22" x14ac:dyDescent="0.2">
      <c r="C865" s="6"/>
      <c r="D865" s="6"/>
      <c r="E865" s="7"/>
      <c r="F865" s="7"/>
      <c r="G865" s="7"/>
      <c r="H865" s="7"/>
      <c r="O865" s="6"/>
      <c r="R865" s="7"/>
      <c r="S865" s="6"/>
      <c r="T865" s="6"/>
      <c r="U865" s="7"/>
      <c r="V865" s="7"/>
    </row>
    <row r="866" spans="3:22" x14ac:dyDescent="0.2">
      <c r="C866" s="6"/>
      <c r="D866" s="6"/>
      <c r="E866" s="7"/>
      <c r="F866" s="7"/>
      <c r="G866" s="7"/>
      <c r="H866" s="7"/>
      <c r="O866" s="6"/>
      <c r="R866" s="7"/>
      <c r="S866" s="6"/>
      <c r="T866" s="6"/>
      <c r="U866" s="7"/>
      <c r="V866" s="7"/>
    </row>
    <row r="867" spans="3:22" x14ac:dyDescent="0.2">
      <c r="C867" s="6"/>
      <c r="D867" s="6"/>
      <c r="E867" s="7"/>
      <c r="F867" s="7"/>
      <c r="G867" s="7"/>
      <c r="H867" s="7"/>
      <c r="O867" s="6"/>
      <c r="R867" s="7"/>
      <c r="S867" s="6"/>
      <c r="T867" s="6"/>
      <c r="U867" s="7"/>
      <c r="V867" s="7"/>
    </row>
    <row r="868" spans="3:22" x14ac:dyDescent="0.2">
      <c r="C868" s="6"/>
      <c r="D868" s="6"/>
      <c r="E868" s="7"/>
      <c r="F868" s="7"/>
      <c r="G868" s="7"/>
      <c r="H868" s="7"/>
      <c r="O868" s="6"/>
      <c r="R868" s="7"/>
      <c r="S868" s="6"/>
      <c r="T868" s="6"/>
      <c r="U868" s="7"/>
      <c r="V868" s="7"/>
    </row>
    <row r="869" spans="3:22" x14ac:dyDescent="0.2">
      <c r="C869" s="6"/>
      <c r="D869" s="6"/>
      <c r="E869" s="7"/>
      <c r="F869" s="7"/>
      <c r="G869" s="7"/>
      <c r="H869" s="7"/>
      <c r="O869" s="6"/>
      <c r="R869" s="7"/>
      <c r="S869" s="6"/>
      <c r="T869" s="6"/>
      <c r="U869" s="7"/>
      <c r="V869" s="7"/>
    </row>
    <row r="870" spans="3:22" x14ac:dyDescent="0.2">
      <c r="C870" s="6"/>
      <c r="D870" s="6"/>
      <c r="E870" s="7"/>
      <c r="F870" s="7"/>
      <c r="G870" s="7"/>
      <c r="H870" s="7"/>
      <c r="O870" s="6"/>
      <c r="R870" s="7"/>
      <c r="S870" s="6"/>
      <c r="T870" s="6"/>
      <c r="U870" s="7"/>
      <c r="V870" s="7"/>
    </row>
    <row r="871" spans="3:22" x14ac:dyDescent="0.2">
      <c r="C871" s="6"/>
      <c r="D871" s="6"/>
      <c r="E871" s="7"/>
      <c r="F871" s="7"/>
      <c r="G871" s="7"/>
      <c r="H871" s="7"/>
      <c r="O871" s="6"/>
      <c r="R871" s="7"/>
      <c r="S871" s="6"/>
      <c r="T871" s="6"/>
      <c r="U871" s="7"/>
      <c r="V871" s="7"/>
    </row>
    <row r="872" spans="3:22" x14ac:dyDescent="0.2">
      <c r="C872" s="6"/>
      <c r="D872" s="6"/>
      <c r="E872" s="7"/>
      <c r="F872" s="7"/>
      <c r="G872" s="7"/>
      <c r="H872" s="7"/>
      <c r="O872" s="6"/>
      <c r="R872" s="7"/>
      <c r="S872" s="6"/>
      <c r="T872" s="6"/>
      <c r="U872" s="7"/>
      <c r="V872" s="7"/>
    </row>
    <row r="873" spans="3:22" x14ac:dyDescent="0.2">
      <c r="C873" s="6"/>
      <c r="D873" s="6"/>
      <c r="E873" s="7"/>
      <c r="F873" s="7"/>
      <c r="G873" s="7"/>
      <c r="H873" s="7"/>
      <c r="O873" s="6"/>
      <c r="R873" s="7"/>
      <c r="S873" s="6"/>
      <c r="T873" s="6"/>
      <c r="U873" s="7"/>
      <c r="V873" s="7"/>
    </row>
    <row r="874" spans="3:22" x14ac:dyDescent="0.2">
      <c r="C874" s="6"/>
      <c r="D874" s="6"/>
      <c r="E874" s="7"/>
      <c r="F874" s="7"/>
      <c r="G874" s="7"/>
      <c r="H874" s="7"/>
      <c r="O874" s="6"/>
      <c r="R874" s="7"/>
      <c r="S874" s="6"/>
      <c r="T874" s="6"/>
      <c r="U874" s="7"/>
      <c r="V874" s="7"/>
    </row>
    <row r="875" spans="3:22" x14ac:dyDescent="0.2">
      <c r="C875" s="6"/>
      <c r="D875" s="6"/>
      <c r="E875" s="7"/>
      <c r="F875" s="7"/>
      <c r="G875" s="7"/>
      <c r="H875" s="7"/>
      <c r="O875" s="6"/>
      <c r="R875" s="7"/>
      <c r="S875" s="6"/>
      <c r="T875" s="6"/>
      <c r="U875" s="7"/>
      <c r="V875" s="7"/>
    </row>
    <row r="876" spans="3:22" x14ac:dyDescent="0.2">
      <c r="C876" s="6"/>
      <c r="D876" s="6"/>
      <c r="E876" s="7"/>
      <c r="F876" s="7"/>
      <c r="G876" s="7"/>
      <c r="H876" s="7"/>
      <c r="O876" s="6"/>
      <c r="R876" s="7"/>
      <c r="S876" s="6"/>
      <c r="T876" s="6"/>
      <c r="U876" s="7"/>
      <c r="V876" s="7"/>
    </row>
    <row r="877" spans="3:22" x14ac:dyDescent="0.2">
      <c r="C877" s="6"/>
      <c r="D877" s="6"/>
      <c r="E877" s="7"/>
      <c r="F877" s="7"/>
      <c r="G877" s="7"/>
      <c r="H877" s="7"/>
      <c r="O877" s="6"/>
      <c r="R877" s="7"/>
      <c r="S877" s="6"/>
      <c r="T877" s="6"/>
      <c r="U877" s="7"/>
      <c r="V877" s="7"/>
    </row>
    <row r="878" spans="3:22" x14ac:dyDescent="0.2">
      <c r="C878" s="6"/>
      <c r="D878" s="6"/>
      <c r="E878" s="7"/>
      <c r="F878" s="7"/>
      <c r="G878" s="7"/>
      <c r="H878" s="7"/>
      <c r="O878" s="6"/>
      <c r="R878" s="7"/>
      <c r="S878" s="6"/>
      <c r="T878" s="6"/>
      <c r="U878" s="7"/>
      <c r="V878" s="7"/>
    </row>
    <row r="879" spans="3:22" x14ac:dyDescent="0.2">
      <c r="C879" s="6"/>
      <c r="D879" s="6"/>
      <c r="E879" s="7"/>
      <c r="F879" s="7"/>
      <c r="G879" s="7"/>
      <c r="H879" s="7"/>
      <c r="O879" s="6"/>
      <c r="R879" s="7"/>
      <c r="S879" s="6"/>
      <c r="T879" s="6"/>
      <c r="U879" s="7"/>
      <c r="V879" s="7"/>
    </row>
    <row r="880" spans="3:22" x14ac:dyDescent="0.2">
      <c r="C880" s="6"/>
      <c r="D880" s="6"/>
      <c r="E880" s="7"/>
      <c r="F880" s="7"/>
      <c r="G880" s="7"/>
      <c r="H880" s="7"/>
      <c r="O880" s="6"/>
      <c r="R880" s="7"/>
      <c r="S880" s="6"/>
      <c r="T880" s="6"/>
      <c r="U880" s="7"/>
      <c r="V880" s="7"/>
    </row>
    <row r="881" spans="3:22" x14ac:dyDescent="0.2">
      <c r="C881" s="6"/>
      <c r="D881" s="6"/>
      <c r="E881" s="7"/>
      <c r="F881" s="7"/>
      <c r="G881" s="7"/>
      <c r="H881" s="7"/>
      <c r="O881" s="6"/>
      <c r="R881" s="7"/>
      <c r="S881" s="6"/>
      <c r="T881" s="6"/>
      <c r="U881" s="7"/>
      <c r="V881" s="7"/>
    </row>
    <row r="882" spans="3:22" x14ac:dyDescent="0.2">
      <c r="C882" s="6"/>
      <c r="D882" s="6"/>
      <c r="E882" s="7"/>
      <c r="F882" s="7"/>
      <c r="G882" s="7"/>
      <c r="H882" s="7"/>
      <c r="O882" s="6"/>
      <c r="R882" s="7"/>
      <c r="S882" s="6"/>
      <c r="T882" s="6"/>
      <c r="U882" s="7"/>
      <c r="V882" s="7"/>
    </row>
    <row r="883" spans="3:22" x14ac:dyDescent="0.2">
      <c r="C883" s="6"/>
      <c r="D883" s="6"/>
      <c r="E883" s="7"/>
      <c r="F883" s="7"/>
      <c r="G883" s="7"/>
      <c r="H883" s="7"/>
      <c r="O883" s="6"/>
      <c r="R883" s="7"/>
      <c r="S883" s="6"/>
      <c r="T883" s="6"/>
      <c r="U883" s="7"/>
      <c r="V883" s="7"/>
    </row>
    <row r="884" spans="3:22" x14ac:dyDescent="0.2">
      <c r="C884" s="6"/>
      <c r="D884" s="6"/>
      <c r="E884" s="7"/>
      <c r="F884" s="7"/>
      <c r="G884" s="7"/>
      <c r="H884" s="7"/>
      <c r="O884" s="6"/>
      <c r="R884" s="7"/>
      <c r="S884" s="6"/>
      <c r="T884" s="6"/>
      <c r="U884" s="7"/>
      <c r="V884" s="7"/>
    </row>
    <row r="885" spans="3:22" x14ac:dyDescent="0.2">
      <c r="C885" s="6"/>
      <c r="D885" s="6"/>
      <c r="E885" s="7"/>
      <c r="F885" s="7"/>
      <c r="G885" s="7"/>
      <c r="H885" s="7"/>
      <c r="O885" s="6"/>
      <c r="R885" s="7"/>
      <c r="S885" s="6"/>
      <c r="T885" s="6"/>
      <c r="U885" s="7"/>
      <c r="V885" s="7"/>
    </row>
    <row r="886" spans="3:22" x14ac:dyDescent="0.2">
      <c r="C886" s="6"/>
      <c r="D886" s="6"/>
      <c r="E886" s="7"/>
      <c r="F886" s="7"/>
      <c r="G886" s="7"/>
      <c r="H886" s="7"/>
      <c r="O886" s="6"/>
      <c r="R886" s="7"/>
      <c r="S886" s="6"/>
      <c r="T886" s="6"/>
      <c r="U886" s="7"/>
      <c r="V886" s="7"/>
    </row>
    <row r="887" spans="3:22" x14ac:dyDescent="0.2">
      <c r="C887" s="6"/>
      <c r="D887" s="6"/>
      <c r="E887" s="7"/>
      <c r="F887" s="7"/>
      <c r="G887" s="7"/>
      <c r="H887" s="7"/>
      <c r="O887" s="6"/>
      <c r="R887" s="7"/>
      <c r="S887" s="6"/>
      <c r="T887" s="6"/>
      <c r="U887" s="7"/>
      <c r="V887" s="7"/>
    </row>
    <row r="888" spans="3:22" x14ac:dyDescent="0.2">
      <c r="C888" s="6"/>
      <c r="D888" s="6"/>
      <c r="E888" s="7"/>
      <c r="F888" s="7"/>
      <c r="G888" s="7"/>
      <c r="H888" s="7"/>
      <c r="O888" s="6"/>
      <c r="R888" s="7"/>
      <c r="S888" s="6"/>
      <c r="T888" s="6"/>
      <c r="U888" s="7"/>
      <c r="V888" s="7"/>
    </row>
    <row r="889" spans="3:22" x14ac:dyDescent="0.2">
      <c r="C889" s="6"/>
      <c r="D889" s="6"/>
      <c r="E889" s="7"/>
      <c r="F889" s="7"/>
      <c r="G889" s="7"/>
      <c r="H889" s="7"/>
      <c r="O889" s="6"/>
      <c r="R889" s="7"/>
      <c r="S889" s="6"/>
      <c r="T889" s="6"/>
      <c r="U889" s="7"/>
      <c r="V889" s="7"/>
    </row>
    <row r="890" spans="3:22" x14ac:dyDescent="0.2">
      <c r="C890" s="6"/>
      <c r="D890" s="6"/>
      <c r="E890" s="7"/>
      <c r="F890" s="7"/>
      <c r="G890" s="7"/>
      <c r="H890" s="7"/>
      <c r="O890" s="6"/>
      <c r="R890" s="7"/>
      <c r="S890" s="6"/>
      <c r="T890" s="6"/>
      <c r="U890" s="7"/>
      <c r="V890" s="7"/>
    </row>
    <row r="891" spans="3:22" x14ac:dyDescent="0.2">
      <c r="C891" s="6"/>
      <c r="D891" s="6"/>
      <c r="E891" s="7"/>
      <c r="F891" s="7"/>
      <c r="G891" s="7"/>
      <c r="H891" s="7"/>
      <c r="O891" s="6"/>
      <c r="R891" s="7"/>
      <c r="S891" s="6"/>
      <c r="T891" s="6"/>
      <c r="U891" s="7"/>
      <c r="V891" s="7"/>
    </row>
    <row r="892" spans="3:22" x14ac:dyDescent="0.2">
      <c r="C892" s="6"/>
      <c r="D892" s="6"/>
      <c r="E892" s="7"/>
      <c r="F892" s="7"/>
      <c r="G892" s="7"/>
      <c r="H892" s="7"/>
      <c r="O892" s="6"/>
      <c r="R892" s="7"/>
      <c r="S892" s="6"/>
      <c r="T892" s="6"/>
      <c r="U892" s="7"/>
      <c r="V892" s="7"/>
    </row>
    <row r="893" spans="3:22" x14ac:dyDescent="0.2">
      <c r="C893" s="6"/>
      <c r="D893" s="6"/>
      <c r="E893" s="7"/>
      <c r="F893" s="7"/>
      <c r="G893" s="7"/>
      <c r="H893" s="7"/>
      <c r="O893" s="6"/>
      <c r="R893" s="7"/>
      <c r="S893" s="6"/>
      <c r="T893" s="6"/>
      <c r="U893" s="7"/>
      <c r="V893" s="7"/>
    </row>
    <row r="894" spans="3:22" x14ac:dyDescent="0.2">
      <c r="C894" s="6"/>
      <c r="D894" s="6"/>
      <c r="E894" s="7"/>
      <c r="F894" s="7"/>
      <c r="G894" s="7"/>
      <c r="H894" s="7"/>
      <c r="O894" s="6"/>
      <c r="R894" s="7"/>
      <c r="S894" s="6"/>
      <c r="T894" s="6"/>
      <c r="U894" s="7"/>
      <c r="V894" s="7"/>
    </row>
    <row r="895" spans="3:22" x14ac:dyDescent="0.2">
      <c r="C895" s="6"/>
      <c r="D895" s="6"/>
      <c r="E895" s="7"/>
      <c r="F895" s="7"/>
      <c r="G895" s="7"/>
      <c r="H895" s="7"/>
      <c r="O895" s="6"/>
      <c r="R895" s="7"/>
      <c r="S895" s="6"/>
      <c r="T895" s="6"/>
      <c r="U895" s="7"/>
      <c r="V895" s="7"/>
    </row>
    <row r="896" spans="3:22" x14ac:dyDescent="0.2">
      <c r="C896" s="6"/>
      <c r="D896" s="6"/>
      <c r="E896" s="7"/>
      <c r="F896" s="7"/>
      <c r="G896" s="7"/>
      <c r="H896" s="7"/>
      <c r="O896" s="6"/>
      <c r="R896" s="7"/>
      <c r="S896" s="6"/>
      <c r="T896" s="6"/>
      <c r="U896" s="7"/>
      <c r="V896" s="7"/>
    </row>
    <row r="897" spans="3:22" x14ac:dyDescent="0.2">
      <c r="C897" s="6"/>
      <c r="D897" s="6"/>
      <c r="E897" s="7"/>
      <c r="F897" s="7"/>
      <c r="G897" s="7"/>
      <c r="H897" s="7"/>
      <c r="O897" s="6"/>
      <c r="R897" s="7"/>
      <c r="S897" s="6"/>
      <c r="T897" s="6"/>
      <c r="U897" s="7"/>
      <c r="V897" s="7"/>
    </row>
    <row r="898" spans="3:22" x14ac:dyDescent="0.2">
      <c r="C898" s="6"/>
      <c r="D898" s="6"/>
      <c r="E898" s="7"/>
      <c r="F898" s="7"/>
      <c r="G898" s="7"/>
      <c r="H898" s="7"/>
      <c r="O898" s="6"/>
      <c r="R898" s="7"/>
      <c r="S898" s="6"/>
      <c r="T898" s="6"/>
      <c r="U898" s="7"/>
      <c r="V898" s="7"/>
    </row>
    <row r="899" spans="3:22" x14ac:dyDescent="0.2">
      <c r="C899" s="6"/>
      <c r="D899" s="6"/>
      <c r="E899" s="7"/>
      <c r="F899" s="7"/>
      <c r="G899" s="7"/>
      <c r="H899" s="7"/>
      <c r="O899" s="6"/>
      <c r="R899" s="7"/>
      <c r="S899" s="6"/>
      <c r="T899" s="6"/>
      <c r="U899" s="7"/>
      <c r="V899" s="7"/>
    </row>
    <row r="900" spans="3:22" x14ac:dyDescent="0.2">
      <c r="C900" s="6"/>
      <c r="D900" s="6"/>
      <c r="E900" s="7"/>
      <c r="F900" s="7"/>
      <c r="G900" s="7"/>
      <c r="H900" s="7"/>
      <c r="O900" s="6"/>
      <c r="R900" s="7"/>
      <c r="S900" s="6"/>
      <c r="T900" s="6"/>
      <c r="U900" s="7"/>
      <c r="V900" s="7"/>
    </row>
    <row r="901" spans="3:22" x14ac:dyDescent="0.2">
      <c r="C901" s="6"/>
      <c r="D901" s="6"/>
      <c r="E901" s="7"/>
      <c r="F901" s="7"/>
      <c r="G901" s="7"/>
      <c r="H901" s="7"/>
      <c r="O901" s="6"/>
      <c r="R901" s="7"/>
      <c r="S901" s="6"/>
      <c r="T901" s="6"/>
      <c r="U901" s="7"/>
      <c r="V901" s="7"/>
    </row>
    <row r="902" spans="3:22" x14ac:dyDescent="0.2">
      <c r="C902" s="6"/>
      <c r="D902" s="6"/>
      <c r="E902" s="7"/>
      <c r="F902" s="7"/>
      <c r="G902" s="7"/>
      <c r="H902" s="7"/>
      <c r="O902" s="6"/>
      <c r="R902" s="7"/>
      <c r="S902" s="6"/>
      <c r="T902" s="6"/>
      <c r="U902" s="7"/>
      <c r="V902" s="7"/>
    </row>
    <row r="903" spans="3:22" x14ac:dyDescent="0.2">
      <c r="C903" s="6"/>
      <c r="D903" s="6"/>
      <c r="E903" s="7"/>
      <c r="F903" s="7"/>
      <c r="G903" s="7"/>
      <c r="H903" s="7"/>
      <c r="O903" s="6"/>
      <c r="R903" s="7"/>
      <c r="S903" s="6"/>
      <c r="T903" s="6"/>
      <c r="U903" s="7"/>
      <c r="V903" s="7"/>
    </row>
    <row r="904" spans="3:22" x14ac:dyDescent="0.2">
      <c r="C904" s="6"/>
      <c r="D904" s="6"/>
      <c r="E904" s="7"/>
      <c r="F904" s="7"/>
      <c r="G904" s="7"/>
      <c r="H904" s="7"/>
      <c r="O904" s="6"/>
      <c r="R904" s="7"/>
      <c r="S904" s="6"/>
      <c r="T904" s="6"/>
      <c r="U904" s="7"/>
      <c r="V904" s="7"/>
    </row>
    <row r="905" spans="3:22" x14ac:dyDescent="0.2">
      <c r="C905" s="6"/>
      <c r="D905" s="6"/>
      <c r="E905" s="7"/>
      <c r="F905" s="7"/>
      <c r="G905" s="7"/>
      <c r="H905" s="7"/>
      <c r="O905" s="6"/>
      <c r="R905" s="7"/>
      <c r="S905" s="6"/>
      <c r="T905" s="6"/>
      <c r="U905" s="7"/>
      <c r="V905" s="7"/>
    </row>
    <row r="906" spans="3:22" x14ac:dyDescent="0.2">
      <c r="C906" s="6"/>
      <c r="D906" s="6"/>
      <c r="E906" s="7"/>
      <c r="F906" s="7"/>
      <c r="G906" s="7"/>
      <c r="H906" s="7"/>
      <c r="O906" s="6"/>
      <c r="R906" s="7"/>
      <c r="S906" s="6"/>
      <c r="T906" s="6"/>
      <c r="U906" s="7"/>
      <c r="V906" s="7"/>
    </row>
    <row r="907" spans="3:22" x14ac:dyDescent="0.2">
      <c r="C907" s="6"/>
      <c r="D907" s="6"/>
      <c r="E907" s="7"/>
      <c r="F907" s="7"/>
      <c r="G907" s="7"/>
      <c r="H907" s="7"/>
      <c r="O907" s="6"/>
      <c r="R907" s="7"/>
      <c r="S907" s="6"/>
      <c r="T907" s="6"/>
      <c r="U907" s="7"/>
      <c r="V907" s="7"/>
    </row>
    <row r="908" spans="3:22" x14ac:dyDescent="0.2">
      <c r="C908" s="6"/>
      <c r="D908" s="6"/>
      <c r="E908" s="7"/>
      <c r="F908" s="7"/>
      <c r="G908" s="7"/>
      <c r="H908" s="7"/>
      <c r="O908" s="6"/>
      <c r="R908" s="7"/>
      <c r="S908" s="6"/>
      <c r="T908" s="6"/>
      <c r="U908" s="7"/>
      <c r="V908" s="7"/>
    </row>
    <row r="909" spans="3:22" x14ac:dyDescent="0.2">
      <c r="C909" s="6"/>
      <c r="D909" s="6"/>
      <c r="E909" s="7"/>
      <c r="F909" s="7"/>
      <c r="G909" s="7"/>
      <c r="H909" s="7"/>
      <c r="O909" s="6"/>
      <c r="R909" s="7"/>
      <c r="S909" s="6"/>
      <c r="T909" s="6"/>
      <c r="U909" s="7"/>
      <c r="V909" s="7"/>
    </row>
    <row r="910" spans="3:22" x14ac:dyDescent="0.2">
      <c r="C910" s="6"/>
      <c r="D910" s="6"/>
      <c r="E910" s="7"/>
      <c r="F910" s="7"/>
      <c r="G910" s="7"/>
      <c r="H910" s="7"/>
      <c r="O910" s="6"/>
      <c r="R910" s="7"/>
      <c r="S910" s="6"/>
      <c r="T910" s="6"/>
      <c r="U910" s="7"/>
      <c r="V910" s="7"/>
    </row>
    <row r="911" spans="3:22" x14ac:dyDescent="0.2">
      <c r="C911" s="6"/>
      <c r="D911" s="6"/>
      <c r="E911" s="7"/>
      <c r="F911" s="7"/>
      <c r="G911" s="7"/>
      <c r="H911" s="7"/>
      <c r="O911" s="6"/>
      <c r="R911" s="7"/>
      <c r="S911" s="6"/>
      <c r="T911" s="6"/>
      <c r="U911" s="7"/>
      <c r="V911" s="7"/>
    </row>
    <row r="912" spans="3:22" x14ac:dyDescent="0.2">
      <c r="C912" s="6"/>
      <c r="D912" s="6"/>
      <c r="E912" s="7"/>
      <c r="F912" s="7"/>
      <c r="G912" s="7"/>
      <c r="H912" s="7"/>
      <c r="O912" s="6"/>
      <c r="R912" s="7"/>
      <c r="S912" s="6"/>
      <c r="T912" s="6"/>
      <c r="U912" s="7"/>
      <c r="V912" s="7"/>
    </row>
    <row r="913" spans="3:22" x14ac:dyDescent="0.2">
      <c r="C913" s="6"/>
      <c r="D913" s="6"/>
      <c r="E913" s="7"/>
      <c r="F913" s="7"/>
      <c r="G913" s="7"/>
      <c r="H913" s="7"/>
      <c r="O913" s="6"/>
      <c r="R913" s="7"/>
      <c r="S913" s="6"/>
      <c r="T913" s="6"/>
      <c r="U913" s="7"/>
      <c r="V913" s="7"/>
    </row>
    <row r="914" spans="3:22" x14ac:dyDescent="0.2">
      <c r="C914" s="6"/>
      <c r="D914" s="6"/>
      <c r="E914" s="7"/>
      <c r="F914" s="7"/>
      <c r="G914" s="7"/>
      <c r="H914" s="7"/>
      <c r="O914" s="6"/>
      <c r="R914" s="7"/>
      <c r="S914" s="6"/>
      <c r="T914" s="6"/>
      <c r="U914" s="7"/>
      <c r="V914" s="7"/>
    </row>
    <row r="915" spans="3:22" x14ac:dyDescent="0.2">
      <c r="C915" s="6"/>
      <c r="D915" s="6"/>
      <c r="E915" s="7"/>
      <c r="F915" s="7"/>
      <c r="G915" s="7"/>
      <c r="H915" s="7"/>
      <c r="O915" s="6"/>
      <c r="R915" s="7"/>
      <c r="S915" s="6"/>
      <c r="T915" s="6"/>
      <c r="U915" s="7"/>
      <c r="V915" s="7"/>
    </row>
    <row r="916" spans="3:22" x14ac:dyDescent="0.2">
      <c r="C916" s="6"/>
      <c r="D916" s="6"/>
      <c r="E916" s="7"/>
      <c r="F916" s="7"/>
      <c r="G916" s="7"/>
      <c r="H916" s="7"/>
      <c r="O916" s="6"/>
      <c r="R916" s="7"/>
      <c r="S916" s="6"/>
      <c r="T916" s="6"/>
      <c r="U916" s="7"/>
      <c r="V916" s="7"/>
    </row>
    <row r="917" spans="3:22" x14ac:dyDescent="0.2">
      <c r="C917" s="6"/>
      <c r="D917" s="6"/>
      <c r="E917" s="7"/>
      <c r="F917" s="7"/>
      <c r="G917" s="7"/>
      <c r="H917" s="7"/>
      <c r="O917" s="6"/>
      <c r="R917" s="7"/>
      <c r="S917" s="6"/>
      <c r="T917" s="6"/>
      <c r="U917" s="7"/>
      <c r="V917" s="7"/>
    </row>
    <row r="918" spans="3:22" x14ac:dyDescent="0.2">
      <c r="C918" s="6"/>
      <c r="D918" s="6"/>
      <c r="E918" s="7"/>
      <c r="F918" s="7"/>
      <c r="G918" s="7"/>
      <c r="H918" s="7"/>
      <c r="O918" s="6"/>
      <c r="R918" s="7"/>
      <c r="S918" s="6"/>
      <c r="T918" s="6"/>
      <c r="U918" s="7"/>
      <c r="V918" s="7"/>
    </row>
    <row r="919" spans="3:22" x14ac:dyDescent="0.2">
      <c r="C919" s="6"/>
      <c r="D919" s="6"/>
      <c r="E919" s="7"/>
      <c r="F919" s="7"/>
      <c r="G919" s="7"/>
      <c r="H919" s="7"/>
      <c r="O919" s="6"/>
      <c r="R919" s="7"/>
      <c r="S919" s="6"/>
      <c r="T919" s="6"/>
      <c r="U919" s="7"/>
      <c r="V919" s="7"/>
    </row>
    <row r="920" spans="3:22" x14ac:dyDescent="0.2">
      <c r="C920" s="6"/>
      <c r="D920" s="6"/>
      <c r="E920" s="7"/>
      <c r="F920" s="7"/>
      <c r="G920" s="7"/>
      <c r="H920" s="7"/>
      <c r="O920" s="6"/>
      <c r="R920" s="7"/>
      <c r="S920" s="6"/>
      <c r="T920" s="6"/>
      <c r="U920" s="7"/>
      <c r="V920" s="7"/>
    </row>
    <row r="921" spans="3:22" x14ac:dyDescent="0.2">
      <c r="C921" s="6"/>
      <c r="D921" s="6"/>
      <c r="E921" s="7"/>
      <c r="F921" s="7"/>
      <c r="G921" s="7"/>
      <c r="H921" s="7"/>
      <c r="O921" s="6"/>
      <c r="R921" s="7"/>
      <c r="S921" s="6"/>
      <c r="T921" s="6"/>
      <c r="U921" s="7"/>
      <c r="V921" s="7"/>
    </row>
    <row r="922" spans="3:22" x14ac:dyDescent="0.2">
      <c r="C922" s="6"/>
      <c r="D922" s="6"/>
      <c r="E922" s="7"/>
      <c r="F922" s="7"/>
      <c r="G922" s="7"/>
      <c r="H922" s="7"/>
      <c r="O922" s="6"/>
      <c r="R922" s="7"/>
      <c r="S922" s="6"/>
      <c r="T922" s="6"/>
      <c r="U922" s="7"/>
      <c r="V922" s="7"/>
    </row>
    <row r="923" spans="3:22" x14ac:dyDescent="0.2">
      <c r="C923" s="6"/>
      <c r="D923" s="6"/>
      <c r="E923" s="7"/>
      <c r="F923" s="7"/>
      <c r="G923" s="7"/>
      <c r="H923" s="7"/>
      <c r="O923" s="6"/>
      <c r="R923" s="7"/>
      <c r="S923" s="6"/>
      <c r="T923" s="6"/>
      <c r="U923" s="7"/>
      <c r="V923" s="7"/>
    </row>
    <row r="924" spans="3:22" x14ac:dyDescent="0.2">
      <c r="C924" s="6"/>
      <c r="D924" s="6"/>
      <c r="E924" s="7"/>
      <c r="F924" s="7"/>
      <c r="G924" s="7"/>
      <c r="H924" s="7"/>
      <c r="O924" s="6"/>
      <c r="R924" s="7"/>
      <c r="S924" s="6"/>
      <c r="T924" s="6"/>
      <c r="U924" s="7"/>
      <c r="V924" s="7"/>
    </row>
    <row r="925" spans="3:22" x14ac:dyDescent="0.2">
      <c r="C925" s="6"/>
      <c r="D925" s="6"/>
      <c r="E925" s="7"/>
      <c r="F925" s="7"/>
      <c r="G925" s="7"/>
      <c r="H925" s="7"/>
      <c r="O925" s="6"/>
      <c r="R925" s="7"/>
      <c r="S925" s="6"/>
      <c r="T925" s="6"/>
      <c r="U925" s="7"/>
      <c r="V925" s="7"/>
    </row>
    <row r="926" spans="3:22" x14ac:dyDescent="0.2">
      <c r="C926" s="6"/>
      <c r="D926" s="6"/>
      <c r="E926" s="7"/>
      <c r="F926" s="7"/>
      <c r="G926" s="7"/>
      <c r="H926" s="7"/>
      <c r="O926" s="6"/>
      <c r="R926" s="7"/>
      <c r="S926" s="6"/>
      <c r="T926" s="6"/>
      <c r="U926" s="7"/>
      <c r="V926" s="7"/>
    </row>
    <row r="927" spans="3:22" x14ac:dyDescent="0.2">
      <c r="C927" s="6"/>
      <c r="D927" s="6"/>
      <c r="E927" s="7"/>
      <c r="F927" s="7"/>
      <c r="G927" s="7"/>
      <c r="H927" s="7"/>
      <c r="O927" s="6"/>
      <c r="R927" s="7"/>
      <c r="S927" s="6"/>
      <c r="T927" s="6"/>
      <c r="U927" s="7"/>
      <c r="V927" s="7"/>
    </row>
    <row r="928" spans="3:22" x14ac:dyDescent="0.2">
      <c r="C928" s="6"/>
      <c r="D928" s="6"/>
      <c r="E928" s="7"/>
      <c r="F928" s="7"/>
      <c r="G928" s="7"/>
      <c r="H928" s="7"/>
      <c r="O928" s="6"/>
      <c r="R928" s="7"/>
      <c r="S928" s="6"/>
      <c r="T928" s="6"/>
      <c r="U928" s="7"/>
      <c r="V928" s="7"/>
    </row>
    <row r="929" spans="3:22" x14ac:dyDescent="0.2">
      <c r="C929" s="6"/>
      <c r="D929" s="6"/>
      <c r="E929" s="7"/>
      <c r="F929" s="7"/>
      <c r="G929" s="7"/>
      <c r="H929" s="7"/>
      <c r="O929" s="6"/>
      <c r="R929" s="7"/>
      <c r="S929" s="6"/>
      <c r="T929" s="6"/>
      <c r="U929" s="7"/>
      <c r="V929" s="7"/>
    </row>
    <row r="930" spans="3:22" x14ac:dyDescent="0.2">
      <c r="C930" s="6"/>
      <c r="D930" s="6"/>
      <c r="E930" s="7"/>
      <c r="F930" s="7"/>
      <c r="G930" s="7"/>
      <c r="H930" s="7"/>
      <c r="O930" s="6"/>
      <c r="R930" s="7"/>
      <c r="S930" s="6"/>
      <c r="T930" s="6"/>
      <c r="U930" s="7"/>
      <c r="V930" s="7"/>
    </row>
    <row r="931" spans="3:22" x14ac:dyDescent="0.2">
      <c r="C931" s="6"/>
      <c r="D931" s="6"/>
      <c r="E931" s="7"/>
      <c r="F931" s="7"/>
      <c r="G931" s="7"/>
      <c r="H931" s="7"/>
      <c r="O931" s="6"/>
      <c r="R931" s="7"/>
      <c r="S931" s="6"/>
      <c r="T931" s="6"/>
      <c r="U931" s="7"/>
      <c r="V931" s="7"/>
    </row>
    <row r="932" spans="3:22" x14ac:dyDescent="0.2">
      <c r="C932" s="6"/>
      <c r="D932" s="6"/>
      <c r="E932" s="7"/>
      <c r="F932" s="7"/>
      <c r="G932" s="7"/>
      <c r="H932" s="7"/>
      <c r="O932" s="6"/>
      <c r="R932" s="7"/>
      <c r="S932" s="6"/>
      <c r="T932" s="6"/>
      <c r="U932" s="7"/>
      <c r="V932" s="7"/>
    </row>
    <row r="933" spans="3:22" x14ac:dyDescent="0.2">
      <c r="C933" s="6"/>
      <c r="D933" s="6"/>
      <c r="E933" s="7"/>
      <c r="F933" s="7"/>
      <c r="G933" s="7"/>
      <c r="H933" s="7"/>
      <c r="O933" s="6"/>
      <c r="R933" s="7"/>
      <c r="S933" s="6"/>
      <c r="T933" s="6"/>
      <c r="U933" s="7"/>
      <c r="V933" s="7"/>
    </row>
    <row r="934" spans="3:22" x14ac:dyDescent="0.2">
      <c r="C934" s="6"/>
      <c r="D934" s="6"/>
      <c r="E934" s="7"/>
      <c r="F934" s="7"/>
      <c r="G934" s="7"/>
      <c r="H934" s="7"/>
      <c r="O934" s="6"/>
      <c r="R934" s="7"/>
      <c r="S934" s="6"/>
      <c r="T934" s="6"/>
      <c r="U934" s="7"/>
      <c r="V934" s="7"/>
    </row>
    <row r="935" spans="3:22" x14ac:dyDescent="0.2">
      <c r="C935" s="6"/>
      <c r="D935" s="6"/>
      <c r="E935" s="7"/>
      <c r="F935" s="7"/>
      <c r="G935" s="7"/>
      <c r="H935" s="7"/>
      <c r="O935" s="6"/>
      <c r="R935" s="7"/>
      <c r="S935" s="6"/>
      <c r="T935" s="6"/>
      <c r="U935" s="7"/>
      <c r="V935" s="7"/>
    </row>
    <row r="936" spans="3:22" x14ac:dyDescent="0.2">
      <c r="C936" s="6"/>
      <c r="D936" s="6"/>
      <c r="E936" s="7"/>
      <c r="F936" s="7"/>
      <c r="G936" s="7"/>
      <c r="H936" s="7"/>
      <c r="O936" s="6"/>
      <c r="R936" s="7"/>
      <c r="S936" s="6"/>
      <c r="T936" s="6"/>
      <c r="U936" s="7"/>
      <c r="V936" s="7"/>
    </row>
    <row r="937" spans="3:22" x14ac:dyDescent="0.2">
      <c r="C937" s="6"/>
      <c r="D937" s="6"/>
      <c r="E937" s="7"/>
      <c r="F937" s="7"/>
      <c r="G937" s="7"/>
      <c r="H937" s="7"/>
      <c r="O937" s="6"/>
      <c r="R937" s="7"/>
      <c r="S937" s="6"/>
      <c r="T937" s="6"/>
      <c r="U937" s="7"/>
      <c r="V937" s="7"/>
    </row>
    <row r="938" spans="3:22" x14ac:dyDescent="0.2">
      <c r="C938" s="6"/>
      <c r="D938" s="6"/>
      <c r="E938" s="7"/>
      <c r="F938" s="7"/>
      <c r="G938" s="7"/>
      <c r="H938" s="7"/>
      <c r="O938" s="6"/>
      <c r="R938" s="7"/>
      <c r="S938" s="6"/>
      <c r="T938" s="6"/>
      <c r="U938" s="7"/>
      <c r="V938" s="7"/>
    </row>
    <row r="939" spans="3:22" x14ac:dyDescent="0.2">
      <c r="C939" s="6"/>
      <c r="D939" s="6"/>
      <c r="E939" s="7"/>
      <c r="F939" s="7"/>
      <c r="G939" s="7"/>
      <c r="H939" s="7"/>
      <c r="O939" s="6"/>
      <c r="R939" s="7"/>
      <c r="S939" s="6"/>
      <c r="T939" s="6"/>
      <c r="U939" s="7"/>
      <c r="V939" s="7"/>
    </row>
    <row r="940" spans="3:22" x14ac:dyDescent="0.2">
      <c r="C940" s="6"/>
      <c r="D940" s="6"/>
      <c r="E940" s="7"/>
      <c r="F940" s="7"/>
      <c r="G940" s="7"/>
      <c r="H940" s="7"/>
      <c r="O940" s="6"/>
      <c r="R940" s="7"/>
      <c r="S940" s="6"/>
      <c r="T940" s="6"/>
      <c r="U940" s="7"/>
      <c r="V940" s="7"/>
    </row>
    <row r="941" spans="3:22" x14ac:dyDescent="0.2">
      <c r="C941" s="6"/>
      <c r="D941" s="6"/>
      <c r="E941" s="7"/>
      <c r="F941" s="7"/>
      <c r="G941" s="7"/>
      <c r="H941" s="7"/>
      <c r="O941" s="6"/>
      <c r="R941" s="7"/>
      <c r="S941" s="6"/>
      <c r="T941" s="6"/>
      <c r="U941" s="7"/>
      <c r="V941" s="7"/>
    </row>
    <row r="942" spans="3:22" x14ac:dyDescent="0.2">
      <c r="C942" s="6"/>
      <c r="D942" s="6"/>
      <c r="E942" s="7"/>
      <c r="F942" s="7"/>
      <c r="G942" s="7"/>
      <c r="H942" s="7"/>
      <c r="O942" s="6"/>
      <c r="R942" s="7"/>
      <c r="S942" s="6"/>
      <c r="T942" s="6"/>
      <c r="U942" s="7"/>
      <c r="V942" s="7"/>
    </row>
    <row r="943" spans="3:22" x14ac:dyDescent="0.2">
      <c r="C943" s="6"/>
      <c r="D943" s="6"/>
      <c r="E943" s="7"/>
      <c r="F943" s="7"/>
      <c r="G943" s="7"/>
      <c r="H943" s="7"/>
      <c r="O943" s="6"/>
      <c r="R943" s="7"/>
      <c r="S943" s="6"/>
      <c r="T943" s="6"/>
      <c r="U943" s="7"/>
      <c r="V943" s="7"/>
    </row>
    <row r="944" spans="3:22" x14ac:dyDescent="0.2">
      <c r="C944" s="6"/>
      <c r="D944" s="6"/>
      <c r="E944" s="7"/>
      <c r="F944" s="7"/>
      <c r="G944" s="7"/>
      <c r="H944" s="7"/>
      <c r="O944" s="6"/>
      <c r="R944" s="7"/>
      <c r="S944" s="6"/>
      <c r="T944" s="6"/>
      <c r="U944" s="7"/>
      <c r="V944" s="7"/>
    </row>
    <row r="945" spans="3:22" x14ac:dyDescent="0.2">
      <c r="C945" s="6"/>
      <c r="D945" s="6"/>
      <c r="E945" s="7"/>
      <c r="F945" s="7"/>
      <c r="G945" s="7"/>
      <c r="H945" s="7"/>
      <c r="O945" s="6"/>
      <c r="R945" s="7"/>
      <c r="S945" s="6"/>
      <c r="T945" s="6"/>
      <c r="U945" s="7"/>
      <c r="V945" s="7"/>
    </row>
    <row r="946" spans="3:22" x14ac:dyDescent="0.2">
      <c r="C946" s="6"/>
      <c r="D946" s="6"/>
      <c r="E946" s="7"/>
      <c r="F946" s="7"/>
      <c r="G946" s="7"/>
      <c r="H946" s="7"/>
      <c r="O946" s="6"/>
      <c r="R946" s="7"/>
      <c r="S946" s="6"/>
      <c r="T946" s="6"/>
      <c r="U946" s="7"/>
      <c r="V946" s="7"/>
    </row>
    <row r="947" spans="3:22" x14ac:dyDescent="0.2">
      <c r="C947" s="6"/>
      <c r="D947" s="6"/>
      <c r="E947" s="7"/>
      <c r="F947" s="7"/>
      <c r="G947" s="7"/>
      <c r="H947" s="7"/>
      <c r="O947" s="6"/>
      <c r="R947" s="7"/>
      <c r="S947" s="6"/>
      <c r="T947" s="6"/>
      <c r="U947" s="7"/>
      <c r="V947" s="7"/>
    </row>
    <row r="948" spans="3:22" x14ac:dyDescent="0.2">
      <c r="C948" s="6"/>
      <c r="D948" s="6"/>
      <c r="E948" s="7"/>
      <c r="F948" s="7"/>
      <c r="G948" s="7"/>
      <c r="H948" s="7"/>
      <c r="O948" s="6"/>
      <c r="R948" s="7"/>
      <c r="S948" s="6"/>
      <c r="T948" s="6"/>
      <c r="U948" s="7"/>
      <c r="V948" s="7"/>
    </row>
    <row r="949" spans="3:22" x14ac:dyDescent="0.2">
      <c r="C949" s="6"/>
      <c r="D949" s="6"/>
      <c r="E949" s="7"/>
      <c r="F949" s="7"/>
      <c r="G949" s="7"/>
      <c r="H949" s="7"/>
      <c r="O949" s="6"/>
      <c r="R949" s="7"/>
      <c r="S949" s="6"/>
      <c r="T949" s="6"/>
      <c r="U949" s="7"/>
      <c r="V949" s="7"/>
    </row>
    <row r="950" spans="3:22" x14ac:dyDescent="0.2">
      <c r="C950" s="6"/>
      <c r="D950" s="6"/>
      <c r="E950" s="7"/>
      <c r="F950" s="7"/>
      <c r="G950" s="7"/>
      <c r="H950" s="7"/>
      <c r="O950" s="6"/>
      <c r="R950" s="7"/>
      <c r="S950" s="6"/>
      <c r="T950" s="6"/>
      <c r="U950" s="7"/>
      <c r="V950" s="7"/>
    </row>
    <row r="951" spans="3:22" x14ac:dyDescent="0.2">
      <c r="C951" s="6"/>
      <c r="D951" s="6"/>
      <c r="E951" s="7"/>
      <c r="F951" s="7"/>
      <c r="G951" s="7"/>
      <c r="H951" s="7"/>
      <c r="O951" s="6"/>
      <c r="R951" s="7"/>
      <c r="S951" s="6"/>
      <c r="T951" s="6"/>
      <c r="U951" s="7"/>
      <c r="V951" s="7"/>
    </row>
    <row r="952" spans="3:22" x14ac:dyDescent="0.2">
      <c r="C952" s="6"/>
      <c r="D952" s="6"/>
      <c r="E952" s="7"/>
      <c r="F952" s="7"/>
      <c r="G952" s="7"/>
      <c r="H952" s="7"/>
      <c r="O952" s="6"/>
      <c r="R952" s="7"/>
      <c r="S952" s="6"/>
      <c r="T952" s="6"/>
      <c r="U952" s="7"/>
      <c r="V952" s="7"/>
    </row>
    <row r="953" spans="3:22" x14ac:dyDescent="0.2">
      <c r="C953" s="6"/>
      <c r="D953" s="6"/>
      <c r="E953" s="7"/>
      <c r="F953" s="7"/>
      <c r="G953" s="7"/>
      <c r="H953" s="7"/>
      <c r="O953" s="6"/>
      <c r="R953" s="7"/>
      <c r="S953" s="6"/>
      <c r="T953" s="6"/>
      <c r="U953" s="7"/>
      <c r="V953" s="7"/>
    </row>
    <row r="954" spans="3:22" x14ac:dyDescent="0.2">
      <c r="C954" s="6"/>
      <c r="D954" s="6"/>
      <c r="E954" s="7"/>
      <c r="F954" s="7"/>
      <c r="G954" s="7"/>
      <c r="H954" s="7"/>
      <c r="O954" s="6"/>
      <c r="R954" s="7"/>
      <c r="S954" s="6"/>
      <c r="T954" s="6"/>
      <c r="U954" s="7"/>
      <c r="V954" s="7"/>
    </row>
    <row r="955" spans="3:22" x14ac:dyDescent="0.2">
      <c r="C955" s="6"/>
      <c r="D955" s="6"/>
      <c r="E955" s="7"/>
      <c r="F955" s="7"/>
      <c r="G955" s="7"/>
      <c r="H955" s="7"/>
      <c r="O955" s="6"/>
      <c r="R955" s="7"/>
      <c r="S955" s="6"/>
      <c r="T955" s="6"/>
      <c r="U955" s="7"/>
      <c r="V955" s="7"/>
    </row>
    <row r="956" spans="3:22" x14ac:dyDescent="0.2">
      <c r="C956" s="6"/>
      <c r="D956" s="6"/>
      <c r="E956" s="7"/>
      <c r="F956" s="7"/>
      <c r="G956" s="7"/>
      <c r="H956" s="7"/>
      <c r="O956" s="6"/>
      <c r="R956" s="7"/>
      <c r="S956" s="6"/>
      <c r="T956" s="6"/>
      <c r="U956" s="7"/>
      <c r="V956" s="7"/>
    </row>
    <row r="957" spans="3:22" x14ac:dyDescent="0.2">
      <c r="C957" s="6"/>
      <c r="D957" s="6"/>
      <c r="E957" s="7"/>
      <c r="F957" s="7"/>
      <c r="G957" s="7"/>
      <c r="H957" s="7"/>
      <c r="O957" s="6"/>
      <c r="R957" s="7"/>
      <c r="S957" s="6"/>
      <c r="T957" s="6"/>
      <c r="U957" s="7"/>
      <c r="V957" s="7"/>
    </row>
    <row r="958" spans="3:22" x14ac:dyDescent="0.2">
      <c r="C958" s="6"/>
      <c r="D958" s="6"/>
      <c r="E958" s="7"/>
      <c r="F958" s="7"/>
      <c r="G958" s="7"/>
      <c r="H958" s="7"/>
      <c r="O958" s="6"/>
      <c r="R958" s="7"/>
      <c r="S958" s="6"/>
      <c r="T958" s="6"/>
      <c r="U958" s="7"/>
      <c r="V958" s="7"/>
    </row>
    <row r="959" spans="3:22" x14ac:dyDescent="0.2">
      <c r="C959" s="6"/>
      <c r="D959" s="6"/>
      <c r="E959" s="7"/>
      <c r="F959" s="7"/>
      <c r="G959" s="7"/>
      <c r="H959" s="7"/>
      <c r="O959" s="6"/>
      <c r="R959" s="7"/>
      <c r="S959" s="6"/>
      <c r="T959" s="6"/>
      <c r="U959" s="7"/>
      <c r="V959" s="7"/>
    </row>
    <row r="960" spans="3:22" x14ac:dyDescent="0.2">
      <c r="C960" s="6"/>
      <c r="D960" s="6"/>
      <c r="E960" s="7"/>
      <c r="F960" s="7"/>
      <c r="G960" s="7"/>
      <c r="H960" s="7"/>
      <c r="O960" s="6"/>
      <c r="R960" s="7"/>
      <c r="S960" s="6"/>
      <c r="T960" s="6"/>
      <c r="U960" s="7"/>
      <c r="V960" s="7"/>
    </row>
    <row r="961" spans="3:22" x14ac:dyDescent="0.2">
      <c r="C961" s="6"/>
      <c r="D961" s="6"/>
      <c r="E961" s="7"/>
      <c r="F961" s="7"/>
      <c r="G961" s="7"/>
      <c r="H961" s="7"/>
      <c r="O961" s="6"/>
      <c r="R961" s="7"/>
      <c r="S961" s="6"/>
      <c r="T961" s="6"/>
      <c r="U961" s="7"/>
      <c r="V961" s="7"/>
    </row>
    <row r="962" spans="3:22" x14ac:dyDescent="0.2">
      <c r="C962" s="6"/>
      <c r="D962" s="6"/>
      <c r="E962" s="7"/>
      <c r="F962" s="7"/>
      <c r="G962" s="7"/>
      <c r="H962" s="7"/>
      <c r="O962" s="6"/>
      <c r="R962" s="7"/>
      <c r="S962" s="6"/>
      <c r="T962" s="6"/>
      <c r="U962" s="7"/>
      <c r="V962" s="7"/>
    </row>
    <row r="963" spans="3:22" x14ac:dyDescent="0.2">
      <c r="C963" s="6"/>
      <c r="D963" s="6"/>
      <c r="E963" s="7"/>
      <c r="F963" s="7"/>
      <c r="G963" s="7"/>
      <c r="H963" s="7"/>
      <c r="O963" s="6"/>
      <c r="R963" s="7"/>
      <c r="S963" s="6"/>
      <c r="T963" s="6"/>
      <c r="U963" s="7"/>
      <c r="V963" s="7"/>
    </row>
    <row r="964" spans="3:22" x14ac:dyDescent="0.2">
      <c r="C964" s="6"/>
      <c r="D964" s="6"/>
      <c r="E964" s="7"/>
      <c r="F964" s="7"/>
      <c r="G964" s="7"/>
      <c r="H964" s="7"/>
      <c r="O964" s="6"/>
      <c r="R964" s="7"/>
      <c r="S964" s="6"/>
      <c r="T964" s="6"/>
      <c r="U964" s="7"/>
      <c r="V964" s="7"/>
    </row>
    <row r="965" spans="3:22" x14ac:dyDescent="0.2">
      <c r="C965" s="6"/>
      <c r="D965" s="6"/>
      <c r="E965" s="7"/>
      <c r="F965" s="7"/>
      <c r="G965" s="7"/>
      <c r="H965" s="7"/>
      <c r="O965" s="6"/>
      <c r="R965" s="7"/>
      <c r="S965" s="6"/>
      <c r="T965" s="6"/>
      <c r="U965" s="7"/>
      <c r="V965" s="7"/>
    </row>
    <row r="966" spans="3:22" x14ac:dyDescent="0.2">
      <c r="C966" s="6"/>
      <c r="D966" s="6"/>
      <c r="E966" s="7"/>
      <c r="F966" s="7"/>
      <c r="G966" s="7"/>
      <c r="H966" s="7"/>
      <c r="O966" s="6"/>
      <c r="R966" s="7"/>
      <c r="S966" s="6"/>
      <c r="T966" s="6"/>
      <c r="U966" s="7"/>
      <c r="V966" s="7"/>
    </row>
    <row r="967" spans="3:22" x14ac:dyDescent="0.2">
      <c r="C967" s="6"/>
      <c r="D967" s="6"/>
      <c r="E967" s="7"/>
      <c r="F967" s="7"/>
      <c r="G967" s="7"/>
      <c r="H967" s="7"/>
      <c r="O967" s="6"/>
      <c r="R967" s="7"/>
      <c r="S967" s="6"/>
      <c r="T967" s="6"/>
      <c r="U967" s="7"/>
      <c r="V967" s="7"/>
    </row>
    <row r="968" spans="3:22" x14ac:dyDescent="0.2">
      <c r="C968" s="6"/>
      <c r="D968" s="6"/>
      <c r="E968" s="7"/>
      <c r="F968" s="7"/>
      <c r="G968" s="7"/>
      <c r="H968" s="7"/>
      <c r="O968" s="6"/>
      <c r="R968" s="7"/>
      <c r="S968" s="6"/>
      <c r="T968" s="6"/>
      <c r="U968" s="7"/>
      <c r="V968" s="7"/>
    </row>
    <row r="969" spans="3:22" x14ac:dyDescent="0.2">
      <c r="C969" s="6"/>
      <c r="D969" s="6"/>
      <c r="E969" s="7"/>
      <c r="F969" s="7"/>
      <c r="G969" s="7"/>
      <c r="H969" s="7"/>
      <c r="O969" s="6"/>
      <c r="R969" s="7"/>
      <c r="S969" s="6"/>
      <c r="T969" s="6"/>
      <c r="U969" s="7"/>
      <c r="V969" s="7"/>
    </row>
    <row r="970" spans="3:22" x14ac:dyDescent="0.2">
      <c r="C970" s="6"/>
      <c r="D970" s="6"/>
      <c r="E970" s="7"/>
      <c r="F970" s="7"/>
      <c r="G970" s="7"/>
      <c r="H970" s="7"/>
      <c r="O970" s="6"/>
      <c r="R970" s="7"/>
      <c r="S970" s="6"/>
      <c r="T970" s="6"/>
      <c r="U970" s="7"/>
      <c r="V970" s="7"/>
    </row>
    <row r="971" spans="3:22" x14ac:dyDescent="0.2">
      <c r="C971" s="6"/>
      <c r="D971" s="6"/>
      <c r="E971" s="7"/>
      <c r="F971" s="7"/>
      <c r="G971" s="7"/>
      <c r="H971" s="7"/>
      <c r="O971" s="6"/>
      <c r="R971" s="7"/>
      <c r="S971" s="6"/>
      <c r="T971" s="6"/>
      <c r="U971" s="7"/>
      <c r="V971" s="7"/>
    </row>
    <row r="972" spans="3:22" x14ac:dyDescent="0.2">
      <c r="C972" s="6"/>
      <c r="D972" s="6"/>
      <c r="E972" s="7"/>
      <c r="F972" s="7"/>
      <c r="G972" s="7"/>
      <c r="H972" s="7"/>
      <c r="O972" s="6"/>
      <c r="R972" s="7"/>
      <c r="S972" s="6"/>
      <c r="T972" s="6"/>
      <c r="U972" s="7"/>
      <c r="V972" s="7"/>
    </row>
    <row r="973" spans="3:22" x14ac:dyDescent="0.2">
      <c r="C973" s="6"/>
      <c r="D973" s="6"/>
      <c r="E973" s="7"/>
      <c r="F973" s="7"/>
      <c r="G973" s="7"/>
      <c r="H973" s="7"/>
      <c r="O973" s="6"/>
      <c r="R973" s="7"/>
      <c r="S973" s="6"/>
      <c r="T973" s="6"/>
      <c r="U973" s="7"/>
      <c r="V973" s="7"/>
    </row>
    <row r="974" spans="3:22" x14ac:dyDescent="0.2">
      <c r="C974" s="6"/>
      <c r="D974" s="6"/>
      <c r="E974" s="7"/>
      <c r="F974" s="7"/>
      <c r="G974" s="7"/>
      <c r="H974" s="7"/>
      <c r="O974" s="6"/>
      <c r="R974" s="7"/>
      <c r="S974" s="6"/>
      <c r="T974" s="6"/>
      <c r="U974" s="7"/>
      <c r="V974" s="7"/>
    </row>
    <row r="975" spans="3:22" x14ac:dyDescent="0.2">
      <c r="C975" s="6"/>
      <c r="D975" s="6"/>
      <c r="E975" s="7"/>
      <c r="F975" s="7"/>
      <c r="G975" s="7"/>
      <c r="H975" s="7"/>
      <c r="O975" s="6"/>
      <c r="R975" s="7"/>
      <c r="S975" s="6"/>
      <c r="T975" s="6"/>
      <c r="U975" s="7"/>
      <c r="V975" s="7"/>
    </row>
    <row r="976" spans="3:22" x14ac:dyDescent="0.2">
      <c r="C976" s="6"/>
      <c r="D976" s="6"/>
      <c r="E976" s="7"/>
      <c r="F976" s="7"/>
      <c r="G976" s="7"/>
      <c r="H976" s="7"/>
      <c r="O976" s="6"/>
      <c r="R976" s="7"/>
      <c r="S976" s="6"/>
      <c r="T976" s="6"/>
      <c r="U976" s="7"/>
      <c r="V976" s="7"/>
    </row>
    <row r="977" spans="3:22" x14ac:dyDescent="0.2">
      <c r="C977" s="6"/>
      <c r="D977" s="6"/>
      <c r="E977" s="7"/>
      <c r="F977" s="7"/>
      <c r="G977" s="7"/>
      <c r="H977" s="7"/>
      <c r="O977" s="6"/>
      <c r="R977" s="7"/>
      <c r="S977" s="6"/>
      <c r="T977" s="6"/>
      <c r="U977" s="7"/>
      <c r="V977" s="7"/>
    </row>
    <row r="978" spans="3:22" x14ac:dyDescent="0.2">
      <c r="C978" s="6"/>
      <c r="D978" s="6"/>
      <c r="E978" s="7"/>
      <c r="F978" s="7"/>
      <c r="G978" s="7"/>
      <c r="H978" s="7"/>
      <c r="O978" s="6"/>
      <c r="R978" s="7"/>
      <c r="S978" s="6"/>
      <c r="T978" s="6"/>
      <c r="U978" s="7"/>
      <c r="V978" s="7"/>
    </row>
    <row r="979" spans="3:22" x14ac:dyDescent="0.2">
      <c r="C979" s="6"/>
      <c r="D979" s="6"/>
      <c r="E979" s="7"/>
      <c r="F979" s="7"/>
      <c r="G979" s="7"/>
      <c r="H979" s="7"/>
      <c r="O979" s="6"/>
      <c r="R979" s="7"/>
      <c r="S979" s="6"/>
      <c r="T979" s="6"/>
      <c r="U979" s="7"/>
      <c r="V979" s="7"/>
    </row>
    <row r="980" spans="3:22" x14ac:dyDescent="0.2">
      <c r="C980" s="6"/>
      <c r="D980" s="6"/>
      <c r="E980" s="7"/>
      <c r="F980" s="7"/>
      <c r="G980" s="7"/>
      <c r="H980" s="7"/>
      <c r="O980" s="6"/>
      <c r="R980" s="7"/>
      <c r="S980" s="6"/>
      <c r="T980" s="6"/>
      <c r="U980" s="7"/>
      <c r="V980" s="7"/>
    </row>
    <row r="981" spans="3:22" x14ac:dyDescent="0.2">
      <c r="C981" s="6"/>
      <c r="D981" s="6"/>
      <c r="E981" s="7"/>
      <c r="F981" s="7"/>
      <c r="G981" s="7"/>
      <c r="H981" s="7"/>
      <c r="O981" s="6"/>
      <c r="R981" s="7"/>
      <c r="S981" s="6"/>
      <c r="T981" s="6"/>
      <c r="U981" s="7"/>
      <c r="V981" s="7"/>
    </row>
    <row r="982" spans="3:22" x14ac:dyDescent="0.2">
      <c r="C982" s="6"/>
      <c r="D982" s="6"/>
      <c r="E982" s="7"/>
      <c r="F982" s="7"/>
      <c r="G982" s="7"/>
      <c r="H982" s="7"/>
      <c r="O982" s="6"/>
      <c r="R982" s="7"/>
      <c r="S982" s="6"/>
      <c r="T982" s="6"/>
      <c r="U982" s="7"/>
      <c r="V982" s="7"/>
    </row>
    <row r="983" spans="3:22" x14ac:dyDescent="0.2">
      <c r="C983" s="6"/>
      <c r="D983" s="6"/>
      <c r="E983" s="7"/>
      <c r="F983" s="7"/>
      <c r="G983" s="7"/>
      <c r="H983" s="7"/>
      <c r="O983" s="6"/>
      <c r="R983" s="7"/>
      <c r="S983" s="6"/>
      <c r="T983" s="6"/>
      <c r="U983" s="7"/>
      <c r="V983" s="7"/>
    </row>
    <row r="984" spans="3:22" x14ac:dyDescent="0.2">
      <c r="C984" s="6"/>
      <c r="D984" s="6"/>
      <c r="E984" s="7"/>
      <c r="F984" s="7"/>
      <c r="G984" s="7"/>
      <c r="H984" s="7"/>
      <c r="O984" s="6"/>
      <c r="R984" s="7"/>
      <c r="S984" s="6"/>
      <c r="T984" s="6"/>
      <c r="U984" s="7"/>
      <c r="V984" s="7"/>
    </row>
    <row r="985" spans="3:22" x14ac:dyDescent="0.2">
      <c r="C985" s="6"/>
      <c r="D985" s="6"/>
      <c r="E985" s="7"/>
      <c r="F985" s="7"/>
      <c r="G985" s="7"/>
      <c r="H985" s="7"/>
      <c r="O985" s="6"/>
      <c r="R985" s="7"/>
      <c r="S985" s="6"/>
      <c r="T985" s="6"/>
      <c r="U985" s="7"/>
      <c r="V985" s="7"/>
    </row>
    <row r="986" spans="3:22" x14ac:dyDescent="0.2">
      <c r="C986" s="6"/>
      <c r="D986" s="6"/>
      <c r="E986" s="7"/>
      <c r="F986" s="7"/>
      <c r="G986" s="7"/>
      <c r="H986" s="7"/>
      <c r="O986" s="6"/>
      <c r="R986" s="7"/>
      <c r="S986" s="6"/>
      <c r="T986" s="6"/>
      <c r="U986" s="7"/>
      <c r="V986" s="7"/>
    </row>
    <row r="987" spans="3:22" x14ac:dyDescent="0.2">
      <c r="C987" s="6"/>
      <c r="D987" s="6"/>
      <c r="E987" s="7"/>
      <c r="F987" s="7"/>
      <c r="G987" s="7"/>
      <c r="H987" s="7"/>
      <c r="O987" s="6"/>
      <c r="R987" s="7"/>
      <c r="S987" s="6"/>
      <c r="T987" s="6"/>
      <c r="U987" s="7"/>
      <c r="V987" s="7"/>
    </row>
    <row r="988" spans="3:22" x14ac:dyDescent="0.2">
      <c r="C988" s="6"/>
      <c r="D988" s="6"/>
      <c r="E988" s="7"/>
      <c r="F988" s="7"/>
      <c r="G988" s="7"/>
      <c r="H988" s="7"/>
      <c r="O988" s="6"/>
      <c r="R988" s="7"/>
      <c r="S988" s="6"/>
      <c r="T988" s="6"/>
      <c r="U988" s="7"/>
      <c r="V988" s="7"/>
    </row>
    <row r="989" spans="3:22" x14ac:dyDescent="0.2">
      <c r="C989" s="6"/>
      <c r="D989" s="6"/>
      <c r="E989" s="7"/>
      <c r="F989" s="7"/>
      <c r="G989" s="7"/>
      <c r="H989" s="7"/>
      <c r="O989" s="6"/>
      <c r="R989" s="7"/>
      <c r="S989" s="6"/>
      <c r="T989" s="6"/>
      <c r="U989" s="7"/>
      <c r="V989" s="7"/>
    </row>
    <row r="990" spans="3:22" x14ac:dyDescent="0.2">
      <c r="C990" s="6"/>
      <c r="D990" s="6"/>
      <c r="E990" s="7"/>
      <c r="F990" s="7"/>
      <c r="G990" s="7"/>
      <c r="H990" s="7"/>
      <c r="O990" s="6"/>
      <c r="R990" s="7"/>
      <c r="S990" s="6"/>
      <c r="T990" s="6"/>
      <c r="U990" s="7"/>
      <c r="V990" s="7"/>
    </row>
    <row r="991" spans="3:22" x14ac:dyDescent="0.2">
      <c r="C991" s="6"/>
      <c r="D991" s="6"/>
      <c r="E991" s="7"/>
      <c r="F991" s="7"/>
      <c r="G991" s="7"/>
      <c r="H991" s="7"/>
      <c r="O991" s="6"/>
      <c r="R991" s="7"/>
      <c r="S991" s="6"/>
      <c r="T991" s="6"/>
      <c r="U991" s="7"/>
      <c r="V991" s="7"/>
    </row>
    <row r="992" spans="3:22" x14ac:dyDescent="0.2">
      <c r="C992" s="6"/>
      <c r="D992" s="6"/>
      <c r="E992" s="7"/>
      <c r="F992" s="7"/>
      <c r="G992" s="7"/>
      <c r="H992" s="7"/>
      <c r="O992" s="6"/>
      <c r="R992" s="7"/>
      <c r="S992" s="6"/>
      <c r="T992" s="6"/>
      <c r="U992" s="7"/>
      <c r="V992" s="7"/>
    </row>
    <row r="993" spans="3:22" x14ac:dyDescent="0.2">
      <c r="C993" s="6"/>
      <c r="D993" s="6"/>
      <c r="E993" s="7"/>
      <c r="F993" s="7"/>
      <c r="G993" s="7"/>
      <c r="H993" s="7"/>
      <c r="O993" s="6"/>
      <c r="R993" s="7"/>
      <c r="S993" s="6"/>
      <c r="T993" s="6"/>
      <c r="U993" s="7"/>
      <c r="V993" s="7"/>
    </row>
    <row r="994" spans="3:22" x14ac:dyDescent="0.2">
      <c r="C994" s="6"/>
      <c r="D994" s="6"/>
      <c r="E994" s="7"/>
      <c r="F994" s="7"/>
      <c r="G994" s="7"/>
      <c r="H994" s="7"/>
      <c r="O994" s="6"/>
      <c r="R994" s="7"/>
      <c r="S994" s="6"/>
      <c r="T994" s="6"/>
      <c r="U994" s="7"/>
      <c r="V994" s="7"/>
    </row>
    <row r="995" spans="3:22" x14ac:dyDescent="0.2">
      <c r="C995" s="6"/>
      <c r="D995" s="6"/>
      <c r="E995" s="7"/>
      <c r="F995" s="7"/>
      <c r="G995" s="7"/>
      <c r="H995" s="7"/>
      <c r="O995" s="6"/>
      <c r="R995" s="7"/>
      <c r="S995" s="6"/>
      <c r="T995" s="6"/>
      <c r="U995" s="7"/>
      <c r="V995" s="7"/>
    </row>
    <row r="996" spans="3:22" x14ac:dyDescent="0.2">
      <c r="C996" s="6"/>
      <c r="D996" s="6"/>
      <c r="E996" s="7"/>
      <c r="F996" s="7"/>
      <c r="G996" s="7"/>
      <c r="H996" s="7"/>
      <c r="O996" s="6"/>
      <c r="R996" s="7"/>
      <c r="S996" s="6"/>
      <c r="T996" s="6"/>
      <c r="U996" s="7"/>
      <c r="V996" s="7"/>
    </row>
    <row r="997" spans="3:22" x14ac:dyDescent="0.2">
      <c r="C997" s="6"/>
      <c r="D997" s="6"/>
      <c r="E997" s="7"/>
      <c r="F997" s="7"/>
      <c r="G997" s="7"/>
      <c r="H997" s="7"/>
      <c r="O997" s="6"/>
      <c r="R997" s="7"/>
      <c r="S997" s="6"/>
      <c r="T997" s="6"/>
      <c r="U997" s="7"/>
      <c r="V997" s="7"/>
    </row>
    <row r="998" spans="3:22" x14ac:dyDescent="0.2">
      <c r="C998" s="6"/>
      <c r="D998" s="6"/>
      <c r="E998" s="7"/>
      <c r="F998" s="7"/>
      <c r="G998" s="7"/>
      <c r="H998" s="7"/>
      <c r="O998" s="6"/>
      <c r="R998" s="7"/>
      <c r="S998" s="6"/>
      <c r="T998" s="6"/>
      <c r="U998" s="7"/>
      <c r="V998" s="7"/>
    </row>
    <row r="999" spans="3:22" x14ac:dyDescent="0.2">
      <c r="C999" s="6"/>
      <c r="D999" s="6"/>
      <c r="E999" s="7"/>
      <c r="F999" s="7"/>
      <c r="G999" s="7"/>
      <c r="H999" s="7"/>
      <c r="O999" s="6"/>
      <c r="R999" s="7"/>
      <c r="S999" s="6"/>
      <c r="T999" s="6"/>
      <c r="U999" s="7"/>
      <c r="V999" s="7"/>
    </row>
    <row r="1000" spans="3:22" x14ac:dyDescent="0.2">
      <c r="C1000" s="6"/>
      <c r="D1000" s="6"/>
      <c r="E1000" s="7"/>
      <c r="F1000" s="7"/>
      <c r="G1000" s="7"/>
      <c r="H1000" s="7"/>
      <c r="O1000" s="6"/>
      <c r="R1000" s="7"/>
      <c r="S1000" s="6"/>
      <c r="T1000" s="6"/>
      <c r="U1000" s="7"/>
      <c r="V1000" s="7"/>
    </row>
  </sheetData>
  <customSheetViews>
    <customSheetView guid="{DF97D27D-7B05-4810-A4E7-DF4FB2041691}" filter="1" showAutoFilter="1">
      <pageMargins left="0.7" right="0.7" top="0.75" bottom="0.75" header="0.3" footer="0.3"/>
      <autoFilter ref="A10:Z49" xr:uid="{2C664CDF-E5CE-4BD3-94BE-7F815B14AC67}">
        <filterColumn colId="1">
          <filters>
            <filter val="Ashwagandha"/>
          </filters>
        </filterColumn>
      </autoFilter>
    </customSheetView>
  </customSheetViews>
  <mergeCells count="1">
    <mergeCell ref="D1:I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9"/>
  <sheetViews>
    <sheetView tabSelected="1" workbookViewId="0">
      <selection activeCell="H13" sqref="H13"/>
    </sheetView>
  </sheetViews>
  <sheetFormatPr defaultColWidth="12.5703125" defaultRowHeight="12.75" x14ac:dyDescent="0.2"/>
  <cols>
    <col min="1" max="2" width="31.42578125" customWidth="1"/>
    <col min="3" max="7" width="14.42578125" bestFit="1" customWidth="1"/>
  </cols>
  <sheetData>
    <row r="1" spans="1:15" x14ac:dyDescent="0.2">
      <c r="A1" s="85" t="s">
        <v>31</v>
      </c>
      <c r="B1" s="73"/>
      <c r="C1" s="42" t="s">
        <v>32</v>
      </c>
      <c r="D1" s="42" t="s">
        <v>7</v>
      </c>
    </row>
    <row r="2" spans="1:15" x14ac:dyDescent="0.2">
      <c r="A2" s="77"/>
      <c r="B2" s="79"/>
      <c r="C2" s="43">
        <v>45839</v>
      </c>
      <c r="D2" s="44" t="s">
        <v>28</v>
      </c>
      <c r="F2" s="45"/>
      <c r="I2" s="71" t="s">
        <v>33</v>
      </c>
      <c r="J2" s="72"/>
      <c r="K2" s="72"/>
      <c r="L2" s="72"/>
      <c r="M2" s="72"/>
      <c r="N2" s="72"/>
      <c r="O2" s="73"/>
    </row>
    <row r="3" spans="1:15" x14ac:dyDescent="0.2">
      <c r="I3" s="74"/>
      <c r="J3" s="75"/>
      <c r="K3" s="75"/>
      <c r="L3" s="75"/>
      <c r="M3" s="75"/>
      <c r="N3" s="75"/>
      <c r="O3" s="76"/>
    </row>
    <row r="4" spans="1:15" x14ac:dyDescent="0.2">
      <c r="A4" s="46" t="s">
        <v>8</v>
      </c>
      <c r="B4" s="46" t="s">
        <v>34</v>
      </c>
      <c r="C4" s="46" t="s">
        <v>10</v>
      </c>
      <c r="D4" s="46" t="s">
        <v>35</v>
      </c>
      <c r="E4" s="47" t="s">
        <v>36</v>
      </c>
      <c r="F4" s="46" t="s">
        <v>37</v>
      </c>
      <c r="G4" s="48" t="s">
        <v>38</v>
      </c>
      <c r="I4" s="74"/>
      <c r="J4" s="75"/>
      <c r="K4" s="75"/>
      <c r="L4" s="75"/>
      <c r="M4" s="75"/>
      <c r="N4" s="75"/>
      <c r="O4" s="76"/>
    </row>
    <row r="5" spans="1:15" x14ac:dyDescent="0.2">
      <c r="A5" s="86">
        <f>SUMIFS(MASTER_Monthly!C11:C1000,
MASTER_Monthly!B11:B1000, "="&amp;D2,
MASTER_Monthly!A11:A1000, "="&amp;C2)</f>
        <v>1420531</v>
      </c>
      <c r="B5" s="86">
        <f>SUMIFS(MASTER_Monthly!D11:D1000,
MASTER_Monthly!B11:B1000, "="&amp;D2,
MASTER_Monthly!A11:A1000, "="&amp;C2)</f>
        <v>334195</v>
      </c>
      <c r="C5" s="80">
        <f>AVERAGEIFS(MASTER_Monthly!E11:E1000,
MASTER_Monthly!B11:B1000, "="&amp;D2,
MASTER_Monthly!A11:A1000, "="&amp;C2)</f>
        <v>0.23530000000000001</v>
      </c>
      <c r="D5" s="87">
        <f>SUMIFS(MASTER_Monthly!L11:L1000,
MASTER_Monthly!B11:B1000, "="&amp;D2,
MASTER_Monthly!A11:A1000, "="&amp;C2)</f>
        <v>57185</v>
      </c>
      <c r="E5" s="88">
        <f>SUMIFS(MASTER_Monthly!I11:I1000,
MASTER_Monthly!B11:B1000, "="&amp;D2,
MASTER_Monthly!A11:A1000, "="&amp;C2)</f>
        <v>244791</v>
      </c>
      <c r="F5" s="80">
        <f>AVERAGEIFS(MASTER_Monthly!F11:F1000,
MASTER_Monthly!B11:B1000, "="&amp;D2,
MASTER_Monthly!A11:A1000, "="&amp;C2)</f>
        <v>0.2336</v>
      </c>
      <c r="G5" s="82">
        <f>AVERAGEIFS(MASTER_Monthly!O11:O1000,
MASTER_Monthly!B11:B1000, "="&amp;D2,
MASTER_Monthly!A11:A1000, "="&amp;C2)</f>
        <v>24.84</v>
      </c>
      <c r="I5" s="74"/>
      <c r="J5" s="75"/>
      <c r="K5" s="75"/>
      <c r="L5" s="75"/>
      <c r="M5" s="75"/>
      <c r="N5" s="75"/>
      <c r="O5" s="76"/>
    </row>
    <row r="6" spans="1:15" x14ac:dyDescent="0.2">
      <c r="A6" s="81"/>
      <c r="B6" s="81"/>
      <c r="C6" s="81"/>
      <c r="D6" s="81"/>
      <c r="E6" s="74"/>
      <c r="F6" s="81"/>
      <c r="G6" s="76"/>
      <c r="I6" s="74"/>
      <c r="J6" s="75"/>
      <c r="K6" s="75"/>
      <c r="L6" s="75"/>
      <c r="M6" s="75"/>
      <c r="N6" s="75"/>
      <c r="O6" s="76"/>
    </row>
    <row r="7" spans="1:15" x14ac:dyDescent="0.2">
      <c r="A7" s="49" t="s">
        <v>39</v>
      </c>
      <c r="B7" s="49" t="s">
        <v>39</v>
      </c>
      <c r="C7" s="49" t="s">
        <v>39</v>
      </c>
      <c r="D7" s="49" t="s">
        <v>39</v>
      </c>
      <c r="E7" s="50" t="s">
        <v>39</v>
      </c>
      <c r="F7" s="49" t="s">
        <v>39</v>
      </c>
      <c r="G7" s="51" t="s">
        <v>39</v>
      </c>
      <c r="I7" s="74"/>
      <c r="J7" s="75"/>
      <c r="K7" s="75"/>
      <c r="L7" s="75"/>
      <c r="M7" s="75"/>
      <c r="N7" s="75"/>
      <c r="O7" s="76"/>
    </row>
    <row r="8" spans="1:15" x14ac:dyDescent="0.2">
      <c r="A8" s="80">
        <f>(A5 - (SUMIFS(MASTER_Monthly!C11:C1000,
MASTER_Monthly!B11:B1000, "="&amp;D2,
MASTER_Monthly!A11:A1000, "="&amp;DATE(YEAR(C2), (MONTH(C2) - 1), 1)
))) / (SUMIFS(MASTER_Monthly!C11:C1000,
MASTER_Monthly!B11:B1000, "="&amp;D2,
MASTER_Monthly!A11:A1000, "="&amp;DATE(YEAR(C2), (MONTH(C2) - 1), 1)
))</f>
        <v>0.23182309307887486</v>
      </c>
      <c r="B8" s="80">
        <f>(B5 - (SUMIFS(MASTER_Monthly!D11:D1000,
MASTER_Monthly!B11:B1000, "="&amp;D2,
MASTER_Monthly!A11:A1000, "="&amp;DATE(YEAR(C2), (MONTH(C2) - 1), 1)
))) / (SUMIFS(MASTER_Monthly!D11:D1000,
MASTER_Monthly!B11:B1000, "="&amp;D2,
MASTER_Monthly!A11:A1000, "="&amp;DATE(YEAR(C2), (MONTH(C2) - 1), 1)
))</f>
        <v>0.16418695547667236</v>
      </c>
      <c r="C8" s="80">
        <f>(C5 - (AVERAGEIFS(MASTER_Monthly!E11:E1000,
MASTER_Monthly!B11:B1000, "="&amp;D2,
MASTER_Monthly!A11:A1000, "="&amp;DATE(YEAR(C2), (MONTH(C2) - 1), 1)
))) / (AVERAGEIFS(MASTER_Monthly!E11:E1000,
MASTER_Monthly!B11:B1000, "="&amp;D2,
MASTER_Monthly!A11:A1000, "="&amp;DATE(YEAR(C2), (MONTH(C2) - 1), 1)
))</f>
        <v>-5.4640417838489358E-2</v>
      </c>
      <c r="D8" s="80">
        <f>(D5 - (SUMIFS(MASTER_Monthly!L11:L1000,
MASTER_Monthly!B11:B1000, "="&amp;D2,
MASTER_Monthly!A11:A1000, "="&amp;DATE(YEAR(C2), (MONTH(C2) - 1), 1)
))) / (SUMIFS(MASTER_Monthly!L11:L1000,
MASTER_Monthly!B11:B1000, "="&amp;D2,
MASTER_Monthly!A11:A1000, "="&amp;DATE(YEAR(C2), (MONTH(C2) - 1), 1)
))</f>
        <v>0.29800708189576902</v>
      </c>
      <c r="E8" s="84">
        <f>(E5 - (SUMIFS(MASTER_Monthly!I11:I1000,
MASTER_Monthly!B11:B1000, "="&amp;D2,
MASTER_Monthly!A11:A1000, "="&amp;DATE(YEAR(C2), (MONTH(C2) - 1), 1)
))) / (SUMIFS(MASTER_Monthly!I11:I1000,
MASTER_Monthly!B11:B1000, "="&amp;D2,
MASTER_Monthly!A11:A1000, "="&amp;DATE(YEAR(C2), (MONTH(C2) - 1), 1)
))</f>
        <v>0.22510660020419193</v>
      </c>
      <c r="F8" s="80">
        <f>(F5 - (AVERAGEIFS(MASTER_Monthly!F11:F1000,
MASTER_Monthly!B11:B1000, "="&amp;D2,
MASTER_Monthly!A11:A1000, "="&amp;DATE(YEAR(C2), (MONTH(C2) - 1), 1)
))) / (AVERAGEIFS(MASTER_Monthly!F11:F1000,
MASTER_Monthly!B11:B1000, "="&amp;D2,
MASTER_Monthly!A11:A1000, "="&amp;DATE(YEAR(C2), (MONTH(C2) - 1), 1)
))</f>
        <v>5.9410430839002271E-2</v>
      </c>
      <c r="G8" s="89">
        <f>(G5 - (AVERAGEIFS(MASTER_Monthly!O11:O1000,
MASTER_Monthly!B11:B1000, "="&amp;D2,
MASTER_Monthly!A11:A1000, "="&amp;DATE(YEAR(C2), (MONTH(C2) - 1), 1)
))) / (AVERAGEIFS(MASTER_Monthly!O11:O1000,
MASTER_Monthly!B11:B1000, "="&amp;D2,
MASTER_Monthly!A11:A1000, "="&amp;DATE(YEAR(C2), (MONTH(C2) - 1), 1)
))</f>
        <v>-5.1184110007639415E-2</v>
      </c>
      <c r="I8" s="74"/>
      <c r="J8" s="75"/>
      <c r="K8" s="75"/>
      <c r="L8" s="75"/>
      <c r="M8" s="75"/>
      <c r="N8" s="75"/>
      <c r="O8" s="76"/>
    </row>
    <row r="9" spans="1:15" x14ac:dyDescent="0.2">
      <c r="A9" s="83"/>
      <c r="B9" s="83"/>
      <c r="C9" s="83"/>
      <c r="D9" s="83"/>
      <c r="E9" s="77"/>
      <c r="F9" s="83"/>
      <c r="G9" s="79"/>
      <c r="I9" s="77"/>
      <c r="J9" s="78"/>
      <c r="K9" s="78"/>
      <c r="L9" s="78"/>
      <c r="M9" s="78"/>
      <c r="N9" s="78"/>
      <c r="O9" s="79"/>
    </row>
  </sheetData>
  <mergeCells count="16">
    <mergeCell ref="A1:B2"/>
    <mergeCell ref="I2:O9"/>
    <mergeCell ref="A5:A6"/>
    <mergeCell ref="B5:B6"/>
    <mergeCell ref="C5:C6"/>
    <mergeCell ref="D5:D6"/>
    <mergeCell ref="E5:E6"/>
    <mergeCell ref="G8:G9"/>
    <mergeCell ref="F5:F6"/>
    <mergeCell ref="G5:G6"/>
    <mergeCell ref="A8:A9"/>
    <mergeCell ref="B8:B9"/>
    <mergeCell ref="C8:C9"/>
    <mergeCell ref="D8:D9"/>
    <mergeCell ref="E8:E9"/>
    <mergeCell ref="F8:F9"/>
  </mergeCells>
  <conditionalFormatting sqref="A8:A9">
    <cfRule type="notContainsText" dxfId="29" priority="1" operator="notContains" text="-">
      <formula>ISERROR(SEARCH(("-"),(A8)))</formula>
    </cfRule>
    <cfRule type="containsText" dxfId="28" priority="2" operator="containsText" text="-">
      <formula>NOT(ISERROR(SEARCH(("-"),(A8))))</formula>
    </cfRule>
  </conditionalFormatting>
  <conditionalFormatting sqref="B8:G9">
    <cfRule type="containsText" dxfId="27" priority="3" operator="containsText" text="-">
      <formula>NOT(ISERROR(SEARCH(("-"),(B8))))</formula>
    </cfRule>
    <cfRule type="notContainsText" dxfId="26" priority="9" operator="notContains" text="-">
      <formula>ISERROR(SEARCH(("-"),(B8)))</formula>
    </cfRule>
  </conditionalFormatting>
  <dataValidations count="2">
    <dataValidation type="list" allowBlank="1" showErrorMessage="1" sqref="C2" xr:uid="{00000000-0002-0000-0200-000000000000}">
      <formula1>"August 2024,September 2024,October 2024,December 2024,January 2025,February 2025,March 2025,April 2025,May 2025,June 2025,July 2025,August 2025"</formula1>
    </dataValidation>
    <dataValidation type="list" allowBlank="1" showErrorMessage="1" sqref="D2" xr:uid="{00000000-0002-0000-0200-000001000000}">
      <formula1>"Account,Ashwagandha,K2D3"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54"/>
  <sheetViews>
    <sheetView workbookViewId="0">
      <pane xSplit="2" ySplit="15" topLeftCell="C16" activePane="bottomRight" state="frozen"/>
      <selection pane="topRight" activeCell="C1" sqref="C1"/>
      <selection pane="bottomLeft" activeCell="A16" sqref="A16"/>
      <selection pane="bottomRight" activeCell="D28" sqref="D28"/>
    </sheetView>
  </sheetViews>
  <sheetFormatPr defaultColWidth="12.5703125" defaultRowHeight="12.75" x14ac:dyDescent="0.2"/>
  <cols>
    <col min="1" max="1" width="14.7109375" bestFit="1" customWidth="1"/>
    <col min="2" max="2" width="12.5703125" bestFit="1" customWidth="1"/>
    <col min="3" max="3" width="13.85546875" bestFit="1" customWidth="1"/>
    <col min="4" max="4" width="39.85546875" bestFit="1" customWidth="1"/>
    <col min="5" max="5" width="16.85546875" bestFit="1" customWidth="1"/>
    <col min="6" max="6" width="12.7109375" bestFit="1" customWidth="1"/>
    <col min="7" max="7" width="35.140625" bestFit="1" customWidth="1"/>
    <col min="8" max="8" width="12" bestFit="1" customWidth="1"/>
    <col min="9" max="9" width="33.85546875" bestFit="1" customWidth="1"/>
    <col min="10" max="10" width="10.5703125" bestFit="1" customWidth="1"/>
    <col min="11" max="11" width="33.42578125" bestFit="1" customWidth="1"/>
    <col min="12" max="12" width="12.5703125" bestFit="1" customWidth="1"/>
    <col min="13" max="13" width="35.85546875" bestFit="1" customWidth="1"/>
    <col min="14" max="14" width="14.140625" bestFit="1" customWidth="1"/>
    <col min="15" max="15" width="36" bestFit="1" customWidth="1"/>
    <col min="16" max="16" width="25.140625" bestFit="1" customWidth="1"/>
    <col min="17" max="17" width="14.5703125" bestFit="1" customWidth="1"/>
    <col min="18" max="18" width="12.140625" bestFit="1" customWidth="1"/>
    <col min="19" max="19" width="34.5703125" bestFit="1" customWidth="1"/>
    <col min="20" max="20" width="11.42578125" bestFit="1" customWidth="1"/>
    <col min="21" max="21" width="14.85546875" bestFit="1" customWidth="1"/>
    <col min="22" max="22" width="16.140625" bestFit="1" customWidth="1"/>
    <col min="23" max="23" width="30.7109375" bestFit="1" customWidth="1"/>
    <col min="24" max="24" width="11.140625" bestFit="1" customWidth="1"/>
    <col min="25" max="25" width="33.42578125" bestFit="1" customWidth="1"/>
    <col min="26" max="26" width="15.28515625" bestFit="1" customWidth="1"/>
    <col min="27" max="27" width="30" bestFit="1" customWidth="1"/>
    <col min="28" max="28" width="10.5703125" bestFit="1" customWidth="1"/>
    <col min="29" max="29" width="32.140625" bestFit="1" customWidth="1"/>
    <col min="30" max="30" width="19.140625" bestFit="1" customWidth="1"/>
    <col min="31" max="31" width="15" bestFit="1" customWidth="1"/>
    <col min="32" max="32" width="14.5703125" bestFit="1" customWidth="1"/>
    <col min="33" max="33" width="37.140625" bestFit="1" customWidth="1"/>
    <col min="34" max="34" width="10.5703125" bestFit="1" customWidth="1"/>
    <col min="35" max="35" width="31.7109375" bestFit="1" customWidth="1"/>
    <col min="36" max="39" width="12" customWidth="1"/>
  </cols>
  <sheetData>
    <row r="1" spans="1:39" x14ac:dyDescent="0.2">
      <c r="D1" s="71" t="s">
        <v>40</v>
      </c>
      <c r="E1" s="72"/>
      <c r="F1" s="72"/>
      <c r="G1" s="72"/>
      <c r="H1" s="72"/>
      <c r="I1" s="73"/>
    </row>
    <row r="2" spans="1:39" x14ac:dyDescent="0.2">
      <c r="D2" s="74"/>
      <c r="E2" s="75"/>
      <c r="F2" s="75"/>
      <c r="G2" s="75"/>
      <c r="H2" s="75"/>
      <c r="I2" s="76"/>
    </row>
    <row r="3" spans="1:39" x14ac:dyDescent="0.2">
      <c r="D3" s="74"/>
      <c r="E3" s="75"/>
      <c r="F3" s="75"/>
      <c r="G3" s="75"/>
      <c r="H3" s="75"/>
      <c r="I3" s="76"/>
    </row>
    <row r="4" spans="1:39" x14ac:dyDescent="0.2">
      <c r="D4" s="74"/>
      <c r="E4" s="75"/>
      <c r="F4" s="75"/>
      <c r="G4" s="75"/>
      <c r="H4" s="75"/>
      <c r="I4" s="76"/>
    </row>
    <row r="5" spans="1:39" x14ac:dyDescent="0.2">
      <c r="D5" s="74"/>
      <c r="E5" s="75"/>
      <c r="F5" s="75"/>
      <c r="G5" s="75"/>
      <c r="H5" s="75"/>
      <c r="I5" s="76"/>
    </row>
    <row r="6" spans="1:39" x14ac:dyDescent="0.2">
      <c r="D6" s="74"/>
      <c r="E6" s="75"/>
      <c r="F6" s="75"/>
      <c r="G6" s="75"/>
      <c r="H6" s="75"/>
      <c r="I6" s="76"/>
    </row>
    <row r="7" spans="1:39" x14ac:dyDescent="0.2">
      <c r="D7" s="77"/>
      <c r="E7" s="78"/>
      <c r="F7" s="78"/>
      <c r="G7" s="78"/>
      <c r="H7" s="78"/>
      <c r="I7" s="79"/>
    </row>
    <row r="9" spans="1:39" x14ac:dyDescent="0.2">
      <c r="C9" s="52" t="s">
        <v>41</v>
      </c>
      <c r="D9" s="52" t="s">
        <v>41</v>
      </c>
      <c r="F9" s="52" t="s">
        <v>41</v>
      </c>
      <c r="G9" s="52" t="s">
        <v>41</v>
      </c>
      <c r="H9" s="52" t="s">
        <v>41</v>
      </c>
      <c r="I9" s="52" t="s">
        <v>41</v>
      </c>
      <c r="J9" s="52" t="s">
        <v>41</v>
      </c>
      <c r="K9" s="52" t="s">
        <v>41</v>
      </c>
      <c r="L9" s="52" t="s">
        <v>41</v>
      </c>
      <c r="M9" s="52" t="s">
        <v>41</v>
      </c>
      <c r="N9" s="52" t="s">
        <v>41</v>
      </c>
      <c r="O9" s="52" t="s">
        <v>41</v>
      </c>
      <c r="R9" s="52" t="s">
        <v>41</v>
      </c>
      <c r="S9" s="52" t="s">
        <v>41</v>
      </c>
      <c r="V9" s="52" t="s">
        <v>41</v>
      </c>
      <c r="W9" s="52" t="s">
        <v>41</v>
      </c>
      <c r="X9" s="52" t="s">
        <v>41</v>
      </c>
      <c r="Y9" s="52" t="s">
        <v>41</v>
      </c>
      <c r="Z9" s="52" t="s">
        <v>41</v>
      </c>
      <c r="AA9" s="52" t="s">
        <v>41</v>
      </c>
      <c r="AB9" s="52" t="s">
        <v>41</v>
      </c>
      <c r="AC9" s="52" t="s">
        <v>41</v>
      </c>
      <c r="AF9" s="52" t="s">
        <v>41</v>
      </c>
      <c r="AG9" s="52" t="s">
        <v>41</v>
      </c>
      <c r="AH9" s="52" t="s">
        <v>41</v>
      </c>
      <c r="AI9" s="52" t="s">
        <v>41</v>
      </c>
    </row>
    <row r="10" spans="1:39" x14ac:dyDescent="0.2">
      <c r="C10" s="6">
        <f t="shared" ref="C10:D10" si="0">SUM(C15:C54)</f>
        <v>18412413</v>
      </c>
      <c r="D10" s="6">
        <f t="shared" si="0"/>
        <v>18409085</v>
      </c>
      <c r="F10" s="7">
        <f t="shared" ref="F10:O10" si="1">SUM(F15:F54)</f>
        <v>8.5965000000000025</v>
      </c>
      <c r="G10" s="7">
        <f t="shared" si="1"/>
        <v>8.5965000000000025</v>
      </c>
      <c r="H10" s="7">
        <f t="shared" si="1"/>
        <v>9.263799999999998</v>
      </c>
      <c r="I10" s="7">
        <f t="shared" si="1"/>
        <v>9.2637999999999998</v>
      </c>
      <c r="J10" s="7">
        <f t="shared" si="1"/>
        <v>12.454599999999999</v>
      </c>
      <c r="K10" s="7">
        <f t="shared" si="1"/>
        <v>12.454599999999999</v>
      </c>
      <c r="L10" s="7">
        <f t="shared" si="1"/>
        <v>8.347900000000001</v>
      </c>
      <c r="M10" s="7">
        <f t="shared" si="1"/>
        <v>8.347900000000001</v>
      </c>
      <c r="N10" s="52">
        <f t="shared" si="1"/>
        <v>3763919</v>
      </c>
      <c r="O10" s="52">
        <f t="shared" si="1"/>
        <v>3763919</v>
      </c>
      <c r="R10" s="52">
        <f t="shared" ref="R10:S10" si="2">SUM(R15:R54)</f>
        <v>775646</v>
      </c>
      <c r="S10" s="52">
        <f t="shared" si="2"/>
        <v>775646</v>
      </c>
      <c r="V10" s="6">
        <f t="shared" ref="V10:AC10" si="3">SUM(V15:V54)</f>
        <v>858.41233376679122</v>
      </c>
      <c r="W10" s="6">
        <f t="shared" si="3"/>
        <v>858.40557292295136</v>
      </c>
      <c r="X10" s="6">
        <f t="shared" si="3"/>
        <v>859630</v>
      </c>
      <c r="Y10" s="6">
        <f t="shared" si="3"/>
        <v>775635.23477329663</v>
      </c>
      <c r="Z10" s="52">
        <f t="shared" si="3"/>
        <v>40.840000000000003</v>
      </c>
      <c r="AA10" s="52">
        <f t="shared" si="3"/>
        <v>40.840000000000003</v>
      </c>
      <c r="AB10" s="7">
        <f t="shared" si="3"/>
        <v>9.6265999999999998</v>
      </c>
      <c r="AC10" s="7">
        <f t="shared" si="3"/>
        <v>9.6265999999999998</v>
      </c>
      <c r="AF10" s="7">
        <f t="shared" ref="AF10:AI10" si="4">SUM(AF15:AF54)</f>
        <v>17.864606740500001</v>
      </c>
      <c r="AG10" s="7">
        <f t="shared" si="4"/>
        <v>17.863600000000005</v>
      </c>
      <c r="AH10" s="7">
        <f t="shared" si="4"/>
        <v>21.135393259499999</v>
      </c>
      <c r="AI10" s="7">
        <f t="shared" si="4"/>
        <v>21.133999999999997</v>
      </c>
    </row>
    <row r="11" spans="1:39" x14ac:dyDescent="0.2">
      <c r="D11" s="52" t="s">
        <v>42</v>
      </c>
      <c r="G11" s="52" t="s">
        <v>42</v>
      </c>
      <c r="I11" s="52" t="s">
        <v>42</v>
      </c>
      <c r="K11" s="52" t="s">
        <v>42</v>
      </c>
      <c r="M11" s="52" t="s">
        <v>42</v>
      </c>
      <c r="O11" s="52" t="s">
        <v>42</v>
      </c>
      <c r="S11" s="52" t="s">
        <v>42</v>
      </c>
      <c r="W11" s="52" t="s">
        <v>42</v>
      </c>
      <c r="Y11" s="52" t="s">
        <v>42</v>
      </c>
      <c r="AA11" s="52" t="s">
        <v>42</v>
      </c>
      <c r="AC11" s="52" t="s">
        <v>42</v>
      </c>
      <c r="AG11" s="52" t="s">
        <v>42</v>
      </c>
      <c r="AI11" s="52" t="s">
        <v>42</v>
      </c>
    </row>
    <row r="12" spans="1:39" x14ac:dyDescent="0.2">
      <c r="D12" s="53">
        <f>C10 -D10</f>
        <v>3328</v>
      </c>
      <c r="G12" s="7">
        <f>F10 -G10</f>
        <v>0</v>
      </c>
      <c r="I12" s="7">
        <f>H10 -I10</f>
        <v>0</v>
      </c>
      <c r="K12" s="7">
        <f>J10 -K10</f>
        <v>0</v>
      </c>
      <c r="M12" s="7">
        <f>L10 -M10</f>
        <v>0</v>
      </c>
      <c r="O12" s="52">
        <f>N10 -O10</f>
        <v>0</v>
      </c>
      <c r="S12" s="52">
        <f>R10 -S10</f>
        <v>0</v>
      </c>
      <c r="W12" s="54">
        <f>V10 - W10</f>
        <v>6.760843839856534E-3</v>
      </c>
      <c r="Y12" s="55">
        <f>X10 - Y10</f>
        <v>83994.76522670337</v>
      </c>
      <c r="AA12" s="52">
        <f>Z10 -AA10</f>
        <v>0</v>
      </c>
      <c r="AC12" s="7">
        <f>AB10 -AC10</f>
        <v>0</v>
      </c>
      <c r="AG12" s="56">
        <f>AF10 -AG10</f>
        <v>1.0067404999958285E-3</v>
      </c>
      <c r="AI12" s="56">
        <f>AH10 -AI10</f>
        <v>1.3932595000021308E-3</v>
      </c>
    </row>
    <row r="14" spans="1:39" x14ac:dyDescent="0.2">
      <c r="A14" s="57"/>
      <c r="B14" s="57"/>
      <c r="C14" s="57"/>
      <c r="D14" s="57" t="s">
        <v>43</v>
      </c>
      <c r="E14" s="57"/>
      <c r="F14" s="57"/>
      <c r="G14" s="57" t="s">
        <v>44</v>
      </c>
      <c r="H14" s="57"/>
      <c r="I14" s="57" t="s">
        <v>45</v>
      </c>
      <c r="J14" s="57"/>
      <c r="K14" s="57" t="s">
        <v>46</v>
      </c>
      <c r="L14" s="57"/>
      <c r="M14" s="57" t="s">
        <v>47</v>
      </c>
      <c r="N14" s="57"/>
      <c r="O14" s="57" t="s">
        <v>48</v>
      </c>
      <c r="P14" s="57"/>
      <c r="Q14" s="57"/>
      <c r="R14" s="57"/>
      <c r="S14" s="57" t="s">
        <v>49</v>
      </c>
      <c r="T14" s="57"/>
      <c r="U14" s="57"/>
      <c r="V14" s="57"/>
      <c r="W14" s="57" t="s">
        <v>50</v>
      </c>
      <c r="X14" s="57"/>
      <c r="Y14" s="57" t="s">
        <v>51</v>
      </c>
      <c r="Z14" s="57"/>
      <c r="AA14" s="57" t="s">
        <v>52</v>
      </c>
      <c r="AB14" s="57"/>
      <c r="AC14" s="57" t="s">
        <v>53</v>
      </c>
      <c r="AD14" s="57"/>
      <c r="AE14" s="57"/>
      <c r="AF14" s="57"/>
      <c r="AG14" s="57" t="s">
        <v>54</v>
      </c>
      <c r="AH14" s="57"/>
      <c r="AI14" s="57" t="s">
        <v>55</v>
      </c>
      <c r="AJ14" s="57"/>
      <c r="AK14" s="57"/>
      <c r="AL14" s="57"/>
      <c r="AM14" s="57"/>
    </row>
    <row r="15" spans="1:39" x14ac:dyDescent="0.2">
      <c r="A15" s="8" t="s">
        <v>6</v>
      </c>
      <c r="B15" s="8" t="s">
        <v>7</v>
      </c>
      <c r="C15" s="9" t="s">
        <v>8</v>
      </c>
      <c r="D15" s="58" t="s">
        <v>56</v>
      </c>
      <c r="E15" s="10" t="s">
        <v>9</v>
      </c>
      <c r="F15" s="11" t="s">
        <v>10</v>
      </c>
      <c r="G15" s="59" t="s">
        <v>57</v>
      </c>
      <c r="H15" s="11" t="s">
        <v>11</v>
      </c>
      <c r="I15" s="59" t="s">
        <v>58</v>
      </c>
      <c r="J15" s="11" t="s">
        <v>12</v>
      </c>
      <c r="K15" s="59" t="s">
        <v>59</v>
      </c>
      <c r="L15" s="11" t="s">
        <v>13</v>
      </c>
      <c r="M15" s="59" t="s">
        <v>60</v>
      </c>
      <c r="N15" s="12" t="s">
        <v>14</v>
      </c>
      <c r="O15" s="59" t="s">
        <v>61</v>
      </c>
      <c r="P15" s="8" t="s">
        <v>15</v>
      </c>
      <c r="Q15" s="8" t="s">
        <v>16</v>
      </c>
      <c r="R15" s="12" t="s">
        <v>17</v>
      </c>
      <c r="S15" s="59" t="s">
        <v>62</v>
      </c>
      <c r="T15" s="8" t="s">
        <v>18</v>
      </c>
      <c r="U15" s="8" t="s">
        <v>19</v>
      </c>
      <c r="V15" s="9" t="s">
        <v>20</v>
      </c>
      <c r="W15" s="58" t="s">
        <v>63</v>
      </c>
      <c r="X15" s="12" t="s">
        <v>21</v>
      </c>
      <c r="Y15" s="59" t="s">
        <v>64</v>
      </c>
      <c r="Z15" s="12" t="s">
        <v>22</v>
      </c>
      <c r="AA15" s="59" t="s">
        <v>65</v>
      </c>
      <c r="AB15" s="11" t="s">
        <v>23</v>
      </c>
      <c r="AC15" s="59" t="s">
        <v>66</v>
      </c>
      <c r="AD15" s="10" t="s">
        <v>24</v>
      </c>
      <c r="AE15" s="10" t="s">
        <v>25</v>
      </c>
      <c r="AF15" s="11" t="s">
        <v>26</v>
      </c>
      <c r="AG15" s="59" t="s">
        <v>67</v>
      </c>
      <c r="AH15" s="60" t="s">
        <v>27</v>
      </c>
      <c r="AI15" s="59" t="s">
        <v>68</v>
      </c>
      <c r="AJ15" s="13"/>
      <c r="AK15" s="13"/>
      <c r="AL15" s="13"/>
      <c r="AM15" s="13"/>
    </row>
    <row r="16" spans="1:39" x14ac:dyDescent="0.2">
      <c r="A16" s="14">
        <v>45505</v>
      </c>
      <c r="B16" s="15" t="s">
        <v>28</v>
      </c>
      <c r="C16" s="16">
        <v>921287</v>
      </c>
      <c r="D16" s="17">
        <f t="shared" ref="D16:D54" si="5">AD16 + AE16</f>
        <v>921287</v>
      </c>
      <c r="E16" s="17">
        <v>212777</v>
      </c>
      <c r="F16" s="18">
        <v>0.23100000000000001</v>
      </c>
      <c r="G16" s="61">
        <f t="shared" ref="G16:G54" si="6">ROUND(E16/C16, 4)</f>
        <v>0.23100000000000001</v>
      </c>
      <c r="H16" s="19">
        <v>0.188</v>
      </c>
      <c r="I16" s="61">
        <f t="shared" ref="I16:I54" si="7">ROUND(R16/N16, 4)</f>
        <v>0.188</v>
      </c>
      <c r="J16" s="19">
        <v>0.34159999999999996</v>
      </c>
      <c r="K16" s="61">
        <f t="shared" ref="K16:K54" si="8">ROUND(T16/P16, 4)</f>
        <v>0.34160000000000001</v>
      </c>
      <c r="L16" s="19">
        <v>0.1724</v>
      </c>
      <c r="M16" s="61">
        <f t="shared" ref="M16:M54" si="9">ROUND(U16/Q16, 4)</f>
        <v>0.1724</v>
      </c>
      <c r="N16" s="20">
        <v>206628</v>
      </c>
      <c r="O16" s="21">
        <f t="shared" ref="O16:O54" si="10">P16 + Q16</f>
        <v>206628</v>
      </c>
      <c r="P16" s="21">
        <v>19109</v>
      </c>
      <c r="Q16" s="21">
        <v>187519</v>
      </c>
      <c r="R16" s="20">
        <v>38847</v>
      </c>
      <c r="S16" s="21">
        <f t="shared" ref="S16:S54" si="11">T16 + U16</f>
        <v>38847</v>
      </c>
      <c r="T16" s="21">
        <v>6527</v>
      </c>
      <c r="U16" s="21">
        <v>32320</v>
      </c>
      <c r="V16" s="22">
        <v>23.72</v>
      </c>
      <c r="W16" s="17">
        <f t="shared" ref="W16:W54" si="12">C16 / R16</f>
        <v>23.715782428501559</v>
      </c>
      <c r="X16" s="23">
        <v>44419</v>
      </c>
      <c r="Y16" s="62">
        <f t="shared" ref="Y16:Y54" si="13">C16 / V16</f>
        <v>38840.092748735246</v>
      </c>
      <c r="Z16" s="23">
        <v>1.1399999999999999</v>
      </c>
      <c r="AA16" s="15">
        <f t="shared" ref="AA16:AA54" si="14">ROUND(X16/R16, 2)</f>
        <v>1.1399999999999999</v>
      </c>
      <c r="AB16" s="18">
        <v>0.215</v>
      </c>
      <c r="AC16" s="61">
        <f t="shared" ref="AC16:AC54" si="15">ROUND(X16 / N16, 4)</f>
        <v>0.215</v>
      </c>
      <c r="AD16" s="24">
        <v>493881</v>
      </c>
      <c r="AE16" s="24">
        <v>427406</v>
      </c>
      <c r="AF16" s="19">
        <v>0.53607724849999994</v>
      </c>
      <c r="AG16" s="63">
        <f t="shared" ref="AG16:AG54" si="16">ROUND(AD16 / C16, 4)</f>
        <v>0.53610000000000002</v>
      </c>
      <c r="AH16" s="64">
        <v>0.46392275150000001</v>
      </c>
      <c r="AI16" s="64">
        <f t="shared" ref="AI16:AI54" si="17">ROUND(AE16 / C16, 4)</f>
        <v>0.46389999999999998</v>
      </c>
    </row>
    <row r="17" spans="1:35" x14ac:dyDescent="0.2">
      <c r="A17" s="14">
        <v>45536</v>
      </c>
      <c r="B17" s="15" t="s">
        <v>28</v>
      </c>
      <c r="C17" s="16">
        <v>948029</v>
      </c>
      <c r="D17" s="17">
        <f t="shared" si="5"/>
        <v>948029</v>
      </c>
      <c r="E17" s="17">
        <v>197946</v>
      </c>
      <c r="F17" s="18">
        <v>0.20880000000000001</v>
      </c>
      <c r="G17" s="61">
        <f t="shared" si="6"/>
        <v>0.20880000000000001</v>
      </c>
      <c r="H17" s="19">
        <v>0.20069999999999999</v>
      </c>
      <c r="I17" s="61">
        <f t="shared" si="7"/>
        <v>0.20069999999999999</v>
      </c>
      <c r="J17" s="19">
        <v>0.32549999999999996</v>
      </c>
      <c r="K17" s="61">
        <f t="shared" si="8"/>
        <v>0.32550000000000001</v>
      </c>
      <c r="L17" s="19">
        <v>0.1865</v>
      </c>
      <c r="M17" s="61">
        <f t="shared" si="9"/>
        <v>0.1865</v>
      </c>
      <c r="N17" s="20">
        <v>201584</v>
      </c>
      <c r="O17" s="21">
        <f t="shared" si="10"/>
        <v>201584</v>
      </c>
      <c r="P17" s="21">
        <v>20522</v>
      </c>
      <c r="Q17" s="21">
        <v>181062</v>
      </c>
      <c r="R17" s="20">
        <v>40450</v>
      </c>
      <c r="S17" s="21">
        <f t="shared" si="11"/>
        <v>40450</v>
      </c>
      <c r="T17" s="21">
        <v>6680</v>
      </c>
      <c r="U17" s="21">
        <v>33770</v>
      </c>
      <c r="V17" s="22">
        <v>23.44</v>
      </c>
      <c r="W17" s="17">
        <f t="shared" si="12"/>
        <v>23.437058096415328</v>
      </c>
      <c r="X17" s="23">
        <v>45915</v>
      </c>
      <c r="Y17" s="62">
        <f t="shared" si="13"/>
        <v>40444.923208191125</v>
      </c>
      <c r="Z17" s="23">
        <v>1.1399999999999999</v>
      </c>
      <c r="AA17" s="15">
        <f t="shared" si="14"/>
        <v>1.1399999999999999</v>
      </c>
      <c r="AB17" s="18">
        <v>0.2278</v>
      </c>
      <c r="AC17" s="61">
        <f t="shared" si="15"/>
        <v>0.2278</v>
      </c>
      <c r="AD17" s="24">
        <v>500394</v>
      </c>
      <c r="AE17" s="24">
        <v>447635</v>
      </c>
      <c r="AF17" s="19">
        <v>0.52782562560000001</v>
      </c>
      <c r="AG17" s="63">
        <f t="shared" si="16"/>
        <v>0.52780000000000005</v>
      </c>
      <c r="AH17" s="64">
        <v>0.47217437439999999</v>
      </c>
      <c r="AI17" s="64">
        <f t="shared" si="17"/>
        <v>0.47220000000000001</v>
      </c>
    </row>
    <row r="18" spans="1:35" x14ac:dyDescent="0.2">
      <c r="A18" s="14">
        <v>45566</v>
      </c>
      <c r="B18" s="15" t="s">
        <v>28</v>
      </c>
      <c r="C18" s="16">
        <v>993750</v>
      </c>
      <c r="D18" s="17">
        <f t="shared" si="5"/>
        <v>993750</v>
      </c>
      <c r="E18" s="17">
        <v>183147</v>
      </c>
      <c r="F18" s="18">
        <v>0.18429999999999999</v>
      </c>
      <c r="G18" s="61">
        <f t="shared" si="6"/>
        <v>0.18429999999999999</v>
      </c>
      <c r="H18" s="19">
        <v>0.20079999999999998</v>
      </c>
      <c r="I18" s="61">
        <f t="shared" si="7"/>
        <v>0.20080000000000001</v>
      </c>
      <c r="J18" s="19">
        <v>0.30859999999999999</v>
      </c>
      <c r="K18" s="61">
        <f t="shared" si="8"/>
        <v>0.30859999999999999</v>
      </c>
      <c r="L18" s="19">
        <v>0.1825</v>
      </c>
      <c r="M18" s="61">
        <f t="shared" si="9"/>
        <v>0.1825</v>
      </c>
      <c r="N18" s="20">
        <v>209554</v>
      </c>
      <c r="O18" s="21">
        <f t="shared" si="10"/>
        <v>209554</v>
      </c>
      <c r="P18" s="21">
        <v>30381</v>
      </c>
      <c r="Q18" s="21">
        <v>179173</v>
      </c>
      <c r="R18" s="20">
        <v>42077</v>
      </c>
      <c r="S18" s="21">
        <f t="shared" si="11"/>
        <v>42077</v>
      </c>
      <c r="T18" s="21">
        <v>9377</v>
      </c>
      <c r="U18" s="21">
        <v>32700</v>
      </c>
      <c r="V18" s="22">
        <v>23.62</v>
      </c>
      <c r="W18" s="17">
        <f t="shared" si="12"/>
        <v>23.617415690282101</v>
      </c>
      <c r="X18" s="23">
        <v>48549</v>
      </c>
      <c r="Y18" s="62">
        <f t="shared" si="13"/>
        <v>42072.396274343773</v>
      </c>
      <c r="Z18" s="23">
        <v>1.1499999999999999</v>
      </c>
      <c r="AA18" s="15">
        <f t="shared" si="14"/>
        <v>1.1499999999999999</v>
      </c>
      <c r="AB18" s="18">
        <v>0.23170000000000002</v>
      </c>
      <c r="AC18" s="61">
        <f t="shared" si="15"/>
        <v>0.23169999999999999</v>
      </c>
      <c r="AD18" s="24">
        <v>486763</v>
      </c>
      <c r="AE18" s="24">
        <v>506987</v>
      </c>
      <c r="AF18" s="19">
        <v>0.48982440250000003</v>
      </c>
      <c r="AG18" s="63">
        <f t="shared" si="16"/>
        <v>0.48980000000000001</v>
      </c>
      <c r="AH18" s="64">
        <v>0.51017559749999997</v>
      </c>
      <c r="AI18" s="64">
        <f t="shared" si="17"/>
        <v>0.51019999999999999</v>
      </c>
    </row>
    <row r="19" spans="1:35" x14ac:dyDescent="0.2">
      <c r="A19" s="14">
        <v>45597</v>
      </c>
      <c r="B19" s="15" t="s">
        <v>28</v>
      </c>
      <c r="C19" s="16">
        <v>1022469</v>
      </c>
      <c r="D19" s="17">
        <f t="shared" si="5"/>
        <v>1022469</v>
      </c>
      <c r="E19" s="17">
        <v>170017</v>
      </c>
      <c r="F19" s="18">
        <v>0.1663</v>
      </c>
      <c r="G19" s="61">
        <f t="shared" si="6"/>
        <v>0.1663</v>
      </c>
      <c r="H19" s="19">
        <v>0.18469999999999998</v>
      </c>
      <c r="I19" s="61">
        <f t="shared" si="7"/>
        <v>0.1847</v>
      </c>
      <c r="J19" s="19">
        <v>0.31269999999999998</v>
      </c>
      <c r="K19" s="61">
        <f t="shared" si="8"/>
        <v>0.31269999999999998</v>
      </c>
      <c r="L19" s="19">
        <v>0.1699</v>
      </c>
      <c r="M19" s="61">
        <f t="shared" si="9"/>
        <v>0.1699</v>
      </c>
      <c r="N19" s="20">
        <v>235393</v>
      </c>
      <c r="O19" s="21">
        <f t="shared" si="10"/>
        <v>235393</v>
      </c>
      <c r="P19" s="21">
        <v>24397</v>
      </c>
      <c r="Q19" s="21">
        <v>210996</v>
      </c>
      <c r="R19" s="20">
        <v>43480</v>
      </c>
      <c r="S19" s="21">
        <f t="shared" si="11"/>
        <v>43480</v>
      </c>
      <c r="T19" s="21">
        <v>7628</v>
      </c>
      <c r="U19" s="21">
        <v>35852</v>
      </c>
      <c r="V19" s="22">
        <v>23.52</v>
      </c>
      <c r="W19" s="17">
        <f t="shared" si="12"/>
        <v>23.515846366145354</v>
      </c>
      <c r="X19" s="23">
        <v>50265</v>
      </c>
      <c r="Y19" s="62">
        <f t="shared" si="13"/>
        <v>43472.321428571428</v>
      </c>
      <c r="Z19" s="23">
        <v>1.1599999999999999</v>
      </c>
      <c r="AA19" s="15">
        <f t="shared" si="14"/>
        <v>1.1599999999999999</v>
      </c>
      <c r="AB19" s="18">
        <v>0.21350000000000002</v>
      </c>
      <c r="AC19" s="61">
        <f t="shared" si="15"/>
        <v>0.2135</v>
      </c>
      <c r="AD19" s="24">
        <v>501876</v>
      </c>
      <c r="AE19" s="24">
        <v>520593</v>
      </c>
      <c r="AF19" s="19">
        <v>0.49084715529999995</v>
      </c>
      <c r="AG19" s="63">
        <f t="shared" si="16"/>
        <v>0.49080000000000001</v>
      </c>
      <c r="AH19" s="64">
        <v>0.5091528447</v>
      </c>
      <c r="AI19" s="64">
        <f t="shared" si="17"/>
        <v>0.50919999999999999</v>
      </c>
    </row>
    <row r="20" spans="1:35" x14ac:dyDescent="0.2">
      <c r="A20" s="14">
        <v>45627</v>
      </c>
      <c r="B20" s="15" t="s">
        <v>28</v>
      </c>
      <c r="C20" s="16">
        <v>961094</v>
      </c>
      <c r="D20" s="17">
        <f t="shared" si="5"/>
        <v>961094</v>
      </c>
      <c r="E20" s="17">
        <v>224070</v>
      </c>
      <c r="F20" s="18">
        <v>0.2331</v>
      </c>
      <c r="G20" s="61">
        <f t="shared" si="6"/>
        <v>0.2331</v>
      </c>
      <c r="H20" s="19">
        <v>0.1764</v>
      </c>
      <c r="I20" s="61">
        <f t="shared" si="7"/>
        <v>0.1764</v>
      </c>
      <c r="J20" s="19">
        <v>0.30640000000000001</v>
      </c>
      <c r="K20" s="61">
        <f t="shared" si="8"/>
        <v>0.30640000000000001</v>
      </c>
      <c r="L20" s="19">
        <v>0.1527</v>
      </c>
      <c r="M20" s="61">
        <f t="shared" si="9"/>
        <v>0.1527</v>
      </c>
      <c r="N20" s="20">
        <v>222858</v>
      </c>
      <c r="O20" s="21">
        <f t="shared" si="10"/>
        <v>222858</v>
      </c>
      <c r="P20" s="21">
        <v>34476</v>
      </c>
      <c r="Q20" s="21">
        <v>188382</v>
      </c>
      <c r="R20" s="20">
        <v>39320</v>
      </c>
      <c r="S20" s="21">
        <f t="shared" si="11"/>
        <v>39320</v>
      </c>
      <c r="T20" s="21">
        <v>10562</v>
      </c>
      <c r="U20" s="21">
        <v>28758</v>
      </c>
      <c r="V20" s="22">
        <v>24.44</v>
      </c>
      <c r="W20" s="17">
        <f t="shared" si="12"/>
        <v>24.442878942014243</v>
      </c>
      <c r="X20" s="23">
        <v>44946</v>
      </c>
      <c r="Y20" s="62">
        <f t="shared" si="13"/>
        <v>39324.631751227491</v>
      </c>
      <c r="Z20" s="23">
        <v>1.1399999999999999</v>
      </c>
      <c r="AA20" s="15">
        <f t="shared" si="14"/>
        <v>1.1399999999999999</v>
      </c>
      <c r="AB20" s="18">
        <v>0.20170000000000002</v>
      </c>
      <c r="AC20" s="61">
        <f t="shared" si="15"/>
        <v>0.20169999999999999</v>
      </c>
      <c r="AD20" s="24">
        <v>478056</v>
      </c>
      <c r="AE20" s="24">
        <v>483038</v>
      </c>
      <c r="AF20" s="19">
        <v>0.49740816189999998</v>
      </c>
      <c r="AG20" s="63">
        <f t="shared" si="16"/>
        <v>0.49740000000000001</v>
      </c>
      <c r="AH20" s="64">
        <v>0.50259183810000008</v>
      </c>
      <c r="AI20" s="64">
        <f t="shared" si="17"/>
        <v>0.50260000000000005</v>
      </c>
    </row>
    <row r="21" spans="1:35" x14ac:dyDescent="0.2">
      <c r="A21" s="14">
        <v>45658</v>
      </c>
      <c r="B21" s="15" t="s">
        <v>28</v>
      </c>
      <c r="C21" s="16">
        <v>1255515</v>
      </c>
      <c r="D21" s="17">
        <f t="shared" si="5"/>
        <v>1255515</v>
      </c>
      <c r="E21" s="17">
        <v>311215</v>
      </c>
      <c r="F21" s="18">
        <v>0.24790000000000001</v>
      </c>
      <c r="G21" s="61">
        <f t="shared" si="6"/>
        <v>0.24790000000000001</v>
      </c>
      <c r="H21" s="19">
        <v>0.17120000000000002</v>
      </c>
      <c r="I21" s="61">
        <f t="shared" si="7"/>
        <v>0.17119999999999999</v>
      </c>
      <c r="J21" s="19">
        <v>0.29210000000000003</v>
      </c>
      <c r="K21" s="61">
        <f t="shared" si="8"/>
        <v>0.29210000000000003</v>
      </c>
      <c r="L21" s="19">
        <v>0.13980000000000001</v>
      </c>
      <c r="M21" s="61">
        <f t="shared" si="9"/>
        <v>0.13980000000000001</v>
      </c>
      <c r="N21" s="20">
        <v>292426</v>
      </c>
      <c r="O21" s="21">
        <f t="shared" si="10"/>
        <v>292426</v>
      </c>
      <c r="P21" s="21">
        <v>60260</v>
      </c>
      <c r="Q21" s="21">
        <v>232166</v>
      </c>
      <c r="R21" s="20">
        <v>50063</v>
      </c>
      <c r="S21" s="21">
        <f t="shared" si="11"/>
        <v>50063</v>
      </c>
      <c r="T21" s="21">
        <v>17601</v>
      </c>
      <c r="U21" s="21">
        <v>32462</v>
      </c>
      <c r="V21" s="22">
        <v>25.08</v>
      </c>
      <c r="W21" s="17">
        <f t="shared" si="12"/>
        <v>25.078700836945448</v>
      </c>
      <c r="X21" s="23">
        <v>56858</v>
      </c>
      <c r="Y21" s="62">
        <f t="shared" si="13"/>
        <v>50060.406698564599</v>
      </c>
      <c r="Z21" s="23">
        <v>1.1399999999999999</v>
      </c>
      <c r="AA21" s="15">
        <f t="shared" si="14"/>
        <v>1.1399999999999999</v>
      </c>
      <c r="AB21" s="18">
        <v>0.19440000000000002</v>
      </c>
      <c r="AC21" s="61">
        <f t="shared" si="15"/>
        <v>0.19439999999999999</v>
      </c>
      <c r="AD21" s="24">
        <v>691439</v>
      </c>
      <c r="AE21" s="24">
        <v>564076</v>
      </c>
      <c r="AF21" s="19">
        <v>0.5507214171</v>
      </c>
      <c r="AG21" s="63">
        <f t="shared" si="16"/>
        <v>0.55069999999999997</v>
      </c>
      <c r="AH21" s="64">
        <v>0.44927858290000006</v>
      </c>
      <c r="AI21" s="64">
        <f t="shared" si="17"/>
        <v>0.44929999999999998</v>
      </c>
    </row>
    <row r="22" spans="1:35" x14ac:dyDescent="0.2">
      <c r="A22" s="14">
        <v>45689</v>
      </c>
      <c r="B22" s="15" t="s">
        <v>28</v>
      </c>
      <c r="C22" s="16">
        <v>1140886</v>
      </c>
      <c r="D22" s="17">
        <f t="shared" si="5"/>
        <v>1140886</v>
      </c>
      <c r="E22" s="17">
        <v>273131</v>
      </c>
      <c r="F22" s="18">
        <v>0.2394</v>
      </c>
      <c r="G22" s="61">
        <f t="shared" si="6"/>
        <v>0.2394</v>
      </c>
      <c r="H22" s="19">
        <v>0.17829999999999999</v>
      </c>
      <c r="I22" s="61">
        <f t="shared" si="7"/>
        <v>0.17829999999999999</v>
      </c>
      <c r="J22" s="19">
        <v>0.28749999999999998</v>
      </c>
      <c r="K22" s="61">
        <f t="shared" si="8"/>
        <v>0.28749999999999998</v>
      </c>
      <c r="L22" s="19">
        <v>0.1457</v>
      </c>
      <c r="M22" s="61">
        <f t="shared" si="9"/>
        <v>0.1457</v>
      </c>
      <c r="N22" s="20">
        <v>256900</v>
      </c>
      <c r="O22" s="21">
        <f t="shared" si="10"/>
        <v>256900</v>
      </c>
      <c r="P22" s="21">
        <v>59041</v>
      </c>
      <c r="Q22" s="21">
        <v>197859</v>
      </c>
      <c r="R22" s="20">
        <v>45805</v>
      </c>
      <c r="S22" s="21">
        <f t="shared" si="11"/>
        <v>45805</v>
      </c>
      <c r="T22" s="21">
        <v>16973</v>
      </c>
      <c r="U22" s="21">
        <v>28832</v>
      </c>
      <c r="V22" s="22">
        <v>24.91</v>
      </c>
      <c r="W22" s="17">
        <f t="shared" si="12"/>
        <v>24.907455517956556</v>
      </c>
      <c r="X22" s="23">
        <v>51979</v>
      </c>
      <c r="Y22" s="62">
        <f t="shared" si="13"/>
        <v>45800.321156162187</v>
      </c>
      <c r="Z22" s="23">
        <v>1.1299999999999999</v>
      </c>
      <c r="AA22" s="15">
        <f t="shared" si="14"/>
        <v>1.1299999999999999</v>
      </c>
      <c r="AB22" s="18">
        <v>0.20230000000000001</v>
      </c>
      <c r="AC22" s="61">
        <f t="shared" si="15"/>
        <v>0.20230000000000001</v>
      </c>
      <c r="AD22" s="24">
        <v>599779</v>
      </c>
      <c r="AE22" s="24">
        <v>541107</v>
      </c>
      <c r="AF22" s="19">
        <v>0.5257133491</v>
      </c>
      <c r="AG22" s="63">
        <f t="shared" si="16"/>
        <v>0.52569999999999995</v>
      </c>
      <c r="AH22" s="64">
        <v>0.47428665090000005</v>
      </c>
      <c r="AI22" s="64">
        <f t="shared" si="17"/>
        <v>0.4743</v>
      </c>
    </row>
    <row r="23" spans="1:35" x14ac:dyDescent="0.2">
      <c r="A23" s="14">
        <v>45717</v>
      </c>
      <c r="B23" s="15" t="s">
        <v>28</v>
      </c>
      <c r="C23" s="16">
        <v>1171220</v>
      </c>
      <c r="D23" s="17">
        <f t="shared" si="5"/>
        <v>1171220</v>
      </c>
      <c r="E23" s="17">
        <v>327361</v>
      </c>
      <c r="F23" s="18">
        <v>0.27950000000000003</v>
      </c>
      <c r="G23" s="61">
        <f t="shared" si="6"/>
        <v>0.27950000000000003</v>
      </c>
      <c r="H23" s="19">
        <v>0.18239999999999998</v>
      </c>
      <c r="I23" s="61">
        <f t="shared" si="7"/>
        <v>0.18240000000000001</v>
      </c>
      <c r="J23" s="19">
        <v>0.33340000000000003</v>
      </c>
      <c r="K23" s="61">
        <f t="shared" si="8"/>
        <v>0.33339999999999997</v>
      </c>
      <c r="L23" s="19">
        <v>0.1641</v>
      </c>
      <c r="M23" s="61">
        <f t="shared" si="9"/>
        <v>0.1641</v>
      </c>
      <c r="N23" s="20">
        <v>256817</v>
      </c>
      <c r="O23" s="21">
        <f t="shared" si="10"/>
        <v>256817</v>
      </c>
      <c r="P23" s="21">
        <v>27733</v>
      </c>
      <c r="Q23" s="21">
        <v>229084</v>
      </c>
      <c r="R23" s="20">
        <v>46843</v>
      </c>
      <c r="S23" s="21">
        <f t="shared" si="11"/>
        <v>46843</v>
      </c>
      <c r="T23" s="21">
        <v>9247</v>
      </c>
      <c r="U23" s="21">
        <v>37596</v>
      </c>
      <c r="V23" s="22">
        <v>25</v>
      </c>
      <c r="W23" s="17">
        <f t="shared" si="12"/>
        <v>25.003095446491471</v>
      </c>
      <c r="X23" s="23">
        <v>53774</v>
      </c>
      <c r="Y23" s="62">
        <f t="shared" si="13"/>
        <v>46848.800000000003</v>
      </c>
      <c r="Z23" s="23">
        <v>1.1499999999999999</v>
      </c>
      <c r="AA23" s="15">
        <f t="shared" si="14"/>
        <v>1.1499999999999999</v>
      </c>
      <c r="AB23" s="18">
        <v>0.2094</v>
      </c>
      <c r="AC23" s="61">
        <f t="shared" si="15"/>
        <v>0.2094</v>
      </c>
      <c r="AD23" s="24">
        <v>542519</v>
      </c>
      <c r="AE23" s="24">
        <v>628701</v>
      </c>
      <c r="AF23" s="19">
        <v>0.46320844929999999</v>
      </c>
      <c r="AG23" s="63">
        <f t="shared" si="16"/>
        <v>0.4632</v>
      </c>
      <c r="AH23" s="64">
        <v>0.53679155069999995</v>
      </c>
      <c r="AI23" s="64">
        <f t="shared" si="17"/>
        <v>0.53680000000000005</v>
      </c>
    </row>
    <row r="24" spans="1:35" x14ac:dyDescent="0.2">
      <c r="A24" s="14">
        <v>45748</v>
      </c>
      <c r="B24" s="15" t="s">
        <v>28</v>
      </c>
      <c r="C24" s="16">
        <v>1148444</v>
      </c>
      <c r="D24" s="17">
        <f t="shared" si="5"/>
        <v>1148444</v>
      </c>
      <c r="E24" s="17">
        <v>301006</v>
      </c>
      <c r="F24" s="18">
        <v>0.2621</v>
      </c>
      <c r="G24" s="61">
        <f t="shared" si="6"/>
        <v>0.2621</v>
      </c>
      <c r="H24" s="19">
        <v>0.19750000000000001</v>
      </c>
      <c r="I24" s="61">
        <f t="shared" si="7"/>
        <v>0.19750000000000001</v>
      </c>
      <c r="J24" s="19">
        <v>0.3044</v>
      </c>
      <c r="K24" s="61">
        <f t="shared" si="8"/>
        <v>0.3044</v>
      </c>
      <c r="L24" s="19">
        <v>0.17370000000000002</v>
      </c>
      <c r="M24" s="61">
        <f t="shared" si="9"/>
        <v>0.17369999999999999</v>
      </c>
      <c r="N24" s="20">
        <v>227683</v>
      </c>
      <c r="O24" s="21">
        <f t="shared" si="10"/>
        <v>227683</v>
      </c>
      <c r="P24" s="21">
        <v>41437</v>
      </c>
      <c r="Q24" s="21">
        <v>186246</v>
      </c>
      <c r="R24" s="20">
        <v>44960</v>
      </c>
      <c r="S24" s="21">
        <f t="shared" si="11"/>
        <v>44960</v>
      </c>
      <c r="T24" s="21">
        <v>12614</v>
      </c>
      <c r="U24" s="21">
        <v>32346</v>
      </c>
      <c r="V24" s="22">
        <v>25.54</v>
      </c>
      <c r="W24" s="17">
        <f t="shared" si="12"/>
        <v>25.543683274021351</v>
      </c>
      <c r="X24" s="23">
        <v>50663</v>
      </c>
      <c r="Y24" s="62">
        <f t="shared" si="13"/>
        <v>44966.483946750195</v>
      </c>
      <c r="Z24" s="23">
        <v>1.1299999999999999</v>
      </c>
      <c r="AA24" s="15">
        <f t="shared" si="14"/>
        <v>1.1299999999999999</v>
      </c>
      <c r="AB24" s="18">
        <v>0.2225</v>
      </c>
      <c r="AC24" s="61">
        <f t="shared" si="15"/>
        <v>0.2225</v>
      </c>
      <c r="AD24" s="24">
        <v>529055</v>
      </c>
      <c r="AE24" s="24">
        <v>619389</v>
      </c>
      <c r="AF24" s="19">
        <v>0.4606711342</v>
      </c>
      <c r="AG24" s="63">
        <f t="shared" si="16"/>
        <v>0.4607</v>
      </c>
      <c r="AH24" s="64">
        <v>0.53932886580000006</v>
      </c>
      <c r="AI24" s="64">
        <f t="shared" si="17"/>
        <v>0.5393</v>
      </c>
    </row>
    <row r="25" spans="1:35" x14ac:dyDescent="0.2">
      <c r="A25" s="14">
        <v>45778</v>
      </c>
      <c r="B25" s="15" t="s">
        <v>28</v>
      </c>
      <c r="C25" s="16">
        <v>1231499</v>
      </c>
      <c r="D25" s="17">
        <f t="shared" si="5"/>
        <v>1231499</v>
      </c>
      <c r="E25" s="17">
        <v>322128</v>
      </c>
      <c r="F25" s="18">
        <v>0.2616</v>
      </c>
      <c r="G25" s="61">
        <f t="shared" si="6"/>
        <v>0.2616</v>
      </c>
      <c r="H25" s="19">
        <v>0.2054</v>
      </c>
      <c r="I25" s="61">
        <f t="shared" si="7"/>
        <v>0.2054</v>
      </c>
      <c r="J25" s="19">
        <v>0.3054</v>
      </c>
      <c r="K25" s="61">
        <f t="shared" si="8"/>
        <v>0.3054</v>
      </c>
      <c r="L25" s="19">
        <v>0.17879999999999999</v>
      </c>
      <c r="M25" s="61">
        <f t="shared" si="9"/>
        <v>0.17879999999999999</v>
      </c>
      <c r="N25" s="20">
        <v>231747</v>
      </c>
      <c r="O25" s="21">
        <f t="shared" si="10"/>
        <v>231747</v>
      </c>
      <c r="P25" s="21">
        <v>48607</v>
      </c>
      <c r="Q25" s="21">
        <v>183140</v>
      </c>
      <c r="R25" s="20">
        <v>47596</v>
      </c>
      <c r="S25" s="21">
        <f t="shared" si="11"/>
        <v>47596</v>
      </c>
      <c r="T25" s="21">
        <v>14846</v>
      </c>
      <c r="U25" s="21">
        <v>32750</v>
      </c>
      <c r="V25" s="22">
        <v>25.87</v>
      </c>
      <c r="W25" s="17">
        <f t="shared" si="12"/>
        <v>25.874002016976217</v>
      </c>
      <c r="X25" s="23">
        <v>53380</v>
      </c>
      <c r="Y25" s="62">
        <f t="shared" si="13"/>
        <v>47603.362968689602</v>
      </c>
      <c r="Z25" s="23">
        <v>1.1200000000000001</v>
      </c>
      <c r="AA25" s="15">
        <f t="shared" si="14"/>
        <v>1.1200000000000001</v>
      </c>
      <c r="AB25" s="18">
        <v>0.2303</v>
      </c>
      <c r="AC25" s="61">
        <f t="shared" si="15"/>
        <v>0.2303</v>
      </c>
      <c r="AD25" s="24">
        <v>560738</v>
      </c>
      <c r="AE25" s="24">
        <v>670761</v>
      </c>
      <c r="AF25" s="19">
        <v>0.45532964300000001</v>
      </c>
      <c r="AG25" s="63">
        <f t="shared" si="16"/>
        <v>0.45529999999999998</v>
      </c>
      <c r="AH25" s="64">
        <v>0.54467035699999999</v>
      </c>
      <c r="AI25" s="64">
        <f t="shared" si="17"/>
        <v>0.54469999999999996</v>
      </c>
    </row>
    <row r="26" spans="1:35" x14ac:dyDescent="0.2">
      <c r="A26" s="14">
        <v>45809</v>
      </c>
      <c r="B26" s="15" t="s">
        <v>28</v>
      </c>
      <c r="C26" s="16">
        <v>1153194</v>
      </c>
      <c r="D26" s="17">
        <f t="shared" si="5"/>
        <v>1153194</v>
      </c>
      <c r="E26" s="17">
        <v>287063</v>
      </c>
      <c r="F26" s="18">
        <v>0.24890000000000001</v>
      </c>
      <c r="G26" s="61">
        <f t="shared" si="6"/>
        <v>0.24890000000000001</v>
      </c>
      <c r="H26" s="19">
        <v>0.2205</v>
      </c>
      <c r="I26" s="61">
        <f t="shared" si="7"/>
        <v>0.2205</v>
      </c>
      <c r="J26" s="19">
        <v>0.30130000000000001</v>
      </c>
      <c r="K26" s="61">
        <f t="shared" si="8"/>
        <v>0.30130000000000001</v>
      </c>
      <c r="L26" s="19">
        <v>0.19010000000000002</v>
      </c>
      <c r="M26" s="61">
        <f t="shared" si="9"/>
        <v>0.19009999999999999</v>
      </c>
      <c r="N26" s="20">
        <v>199812</v>
      </c>
      <c r="O26" s="21">
        <f t="shared" si="10"/>
        <v>199812</v>
      </c>
      <c r="P26" s="21">
        <v>54623</v>
      </c>
      <c r="Q26" s="21">
        <v>145189</v>
      </c>
      <c r="R26" s="20">
        <v>44056</v>
      </c>
      <c r="S26" s="21">
        <f t="shared" si="11"/>
        <v>44056</v>
      </c>
      <c r="T26" s="21">
        <v>16459</v>
      </c>
      <c r="U26" s="21">
        <v>27597</v>
      </c>
      <c r="V26" s="22">
        <v>26.18</v>
      </c>
      <c r="W26" s="17">
        <f t="shared" si="12"/>
        <v>26.175640094425276</v>
      </c>
      <c r="X26" s="23">
        <v>49160</v>
      </c>
      <c r="Y26" s="62">
        <f t="shared" si="13"/>
        <v>44048.663101604281</v>
      </c>
      <c r="Z26" s="23">
        <v>1.1200000000000001</v>
      </c>
      <c r="AA26" s="15">
        <f t="shared" si="14"/>
        <v>1.1200000000000001</v>
      </c>
      <c r="AB26" s="18">
        <v>0.24600000000000002</v>
      </c>
      <c r="AC26" s="61">
        <f t="shared" si="15"/>
        <v>0.246</v>
      </c>
      <c r="AD26" s="24">
        <v>504737</v>
      </c>
      <c r="AE26" s="24">
        <v>648457</v>
      </c>
      <c r="AF26" s="19">
        <v>0.43768611350000003</v>
      </c>
      <c r="AG26" s="63">
        <f t="shared" si="16"/>
        <v>0.43769999999999998</v>
      </c>
      <c r="AH26" s="64">
        <v>0.56231388650000003</v>
      </c>
      <c r="AI26" s="64">
        <f t="shared" si="17"/>
        <v>0.56230000000000002</v>
      </c>
    </row>
    <row r="27" spans="1:35" x14ac:dyDescent="0.2">
      <c r="A27" s="14">
        <v>45839</v>
      </c>
      <c r="B27" s="15" t="s">
        <v>28</v>
      </c>
      <c r="C27" s="16">
        <v>1420531</v>
      </c>
      <c r="D27" s="17">
        <f t="shared" si="5"/>
        <v>1420248</v>
      </c>
      <c r="E27" s="17">
        <v>334195</v>
      </c>
      <c r="F27" s="18">
        <v>0.23530000000000001</v>
      </c>
      <c r="G27" s="61">
        <f t="shared" si="6"/>
        <v>0.23530000000000001</v>
      </c>
      <c r="H27" s="19">
        <v>0.2336</v>
      </c>
      <c r="I27" s="61">
        <f t="shared" si="7"/>
        <v>0.2336</v>
      </c>
      <c r="J27" s="19">
        <v>0.30469999999999997</v>
      </c>
      <c r="K27" s="61">
        <f t="shared" si="8"/>
        <v>0.30470000000000003</v>
      </c>
      <c r="L27" s="19">
        <v>0.21859999999999999</v>
      </c>
      <c r="M27" s="61">
        <f t="shared" si="9"/>
        <v>0.21859999999999999</v>
      </c>
      <c r="N27" s="20">
        <v>244791</v>
      </c>
      <c r="O27" s="21">
        <f t="shared" si="10"/>
        <v>244791</v>
      </c>
      <c r="P27" s="21">
        <v>42654</v>
      </c>
      <c r="Q27" s="21">
        <v>202137</v>
      </c>
      <c r="R27" s="20">
        <v>57185</v>
      </c>
      <c r="S27" s="21">
        <f t="shared" si="11"/>
        <v>57185</v>
      </c>
      <c r="T27" s="21">
        <v>12996</v>
      </c>
      <c r="U27" s="21">
        <v>44189</v>
      </c>
      <c r="V27" s="22">
        <v>24.84</v>
      </c>
      <c r="W27" s="17">
        <f t="shared" si="12"/>
        <v>24.84097228294133</v>
      </c>
      <c r="X27" s="23">
        <v>66691</v>
      </c>
      <c r="Y27" s="62">
        <f t="shared" si="13"/>
        <v>57187.238325281804</v>
      </c>
      <c r="Z27" s="23">
        <v>1.17</v>
      </c>
      <c r="AA27" s="15">
        <f t="shared" si="14"/>
        <v>1.17</v>
      </c>
      <c r="AB27" s="18">
        <v>0.27239999999999998</v>
      </c>
      <c r="AC27" s="61">
        <f t="shared" si="15"/>
        <v>0.27239999999999998</v>
      </c>
      <c r="AD27" s="24">
        <v>565181</v>
      </c>
      <c r="AE27" s="24">
        <v>855067</v>
      </c>
      <c r="AF27" s="19">
        <v>0.39794528839999999</v>
      </c>
      <c r="AG27" s="63">
        <f t="shared" si="16"/>
        <v>0.39789999999999998</v>
      </c>
      <c r="AH27" s="64">
        <v>0.60205471160000001</v>
      </c>
      <c r="AI27" s="64">
        <f t="shared" si="17"/>
        <v>0.60189999999999999</v>
      </c>
    </row>
    <row r="28" spans="1:35" x14ac:dyDescent="0.2">
      <c r="A28" s="14">
        <v>45870</v>
      </c>
      <c r="B28" s="15" t="s">
        <v>28</v>
      </c>
      <c r="C28" s="16">
        <v>1359264</v>
      </c>
      <c r="D28" s="17">
        <f t="shared" si="5"/>
        <v>1356219</v>
      </c>
      <c r="E28" s="17">
        <v>320874</v>
      </c>
      <c r="F28" s="18">
        <v>0.2361</v>
      </c>
      <c r="G28" s="61">
        <f t="shared" si="6"/>
        <v>0.2361</v>
      </c>
      <c r="H28" s="19">
        <v>0.24210000000000001</v>
      </c>
      <c r="I28" s="61">
        <f t="shared" si="7"/>
        <v>0.24210000000000001</v>
      </c>
      <c r="J28" s="19">
        <v>0.33030000000000004</v>
      </c>
      <c r="K28" s="61">
        <f t="shared" si="8"/>
        <v>0.33029999999999998</v>
      </c>
      <c r="L28" s="19">
        <v>0.21739999999999998</v>
      </c>
      <c r="M28" s="61">
        <f t="shared" si="9"/>
        <v>0.21740000000000001</v>
      </c>
      <c r="N28" s="20">
        <v>228398</v>
      </c>
      <c r="O28" s="21">
        <f t="shared" si="10"/>
        <v>228398</v>
      </c>
      <c r="P28" s="21">
        <v>50012</v>
      </c>
      <c r="Q28" s="21">
        <v>178386</v>
      </c>
      <c r="R28" s="20">
        <v>55298</v>
      </c>
      <c r="S28" s="21">
        <f t="shared" si="11"/>
        <v>55298</v>
      </c>
      <c r="T28" s="21">
        <v>16518</v>
      </c>
      <c r="U28" s="21">
        <v>38780</v>
      </c>
      <c r="V28" s="22">
        <v>24.58</v>
      </c>
      <c r="W28" s="17">
        <f t="shared" si="12"/>
        <v>24.580708163043873</v>
      </c>
      <c r="X28" s="23">
        <v>63365</v>
      </c>
      <c r="Y28" s="62">
        <f t="shared" si="13"/>
        <v>55299.593165174942</v>
      </c>
      <c r="Z28" s="23">
        <v>1.1499999999999999</v>
      </c>
      <c r="AA28" s="15">
        <f t="shared" si="14"/>
        <v>1.1499999999999999</v>
      </c>
      <c r="AB28" s="18">
        <v>0.27739999999999998</v>
      </c>
      <c r="AC28" s="61">
        <f t="shared" si="15"/>
        <v>0.27739999999999998</v>
      </c>
      <c r="AD28" s="24">
        <v>623587</v>
      </c>
      <c r="AE28" s="24">
        <v>732632</v>
      </c>
      <c r="AF28" s="19">
        <v>0.45979815940000002</v>
      </c>
      <c r="AG28" s="63">
        <f t="shared" si="16"/>
        <v>0.45879999999999999</v>
      </c>
      <c r="AH28" s="64">
        <v>0.54020184059999998</v>
      </c>
      <c r="AI28" s="64">
        <f t="shared" si="17"/>
        <v>0.53900000000000003</v>
      </c>
    </row>
    <row r="29" spans="1:35" x14ac:dyDescent="0.2">
      <c r="A29" s="14">
        <v>45505</v>
      </c>
      <c r="B29" s="15" t="s">
        <v>29</v>
      </c>
      <c r="C29" s="16">
        <v>157936</v>
      </c>
      <c r="D29" s="17">
        <f t="shared" si="5"/>
        <v>157936</v>
      </c>
      <c r="E29" s="17">
        <v>34841</v>
      </c>
      <c r="F29" s="18">
        <v>0.22059999999999999</v>
      </c>
      <c r="G29" s="61">
        <f t="shared" si="6"/>
        <v>0.22059999999999999</v>
      </c>
      <c r="H29" s="18">
        <v>0.1951</v>
      </c>
      <c r="I29" s="61">
        <f t="shared" si="7"/>
        <v>0.1951</v>
      </c>
      <c r="J29" s="18">
        <v>0.33019999999999999</v>
      </c>
      <c r="K29" s="61">
        <f t="shared" si="8"/>
        <v>0.33019999999999999</v>
      </c>
      <c r="L29" s="18">
        <v>0.16800000000000001</v>
      </c>
      <c r="M29" s="61">
        <f t="shared" si="9"/>
        <v>0.16800000000000001</v>
      </c>
      <c r="N29" s="20">
        <v>42573</v>
      </c>
      <c r="O29" s="21">
        <f t="shared" si="10"/>
        <v>42573</v>
      </c>
      <c r="P29" s="21">
        <v>7101</v>
      </c>
      <c r="Q29" s="21">
        <v>35472</v>
      </c>
      <c r="R29" s="20">
        <v>8304</v>
      </c>
      <c r="S29" s="21">
        <f t="shared" si="11"/>
        <v>8304</v>
      </c>
      <c r="T29" s="21">
        <v>2345</v>
      </c>
      <c r="U29" s="21">
        <v>5959</v>
      </c>
      <c r="V29" s="26">
        <f t="shared" ref="V29:V54" si="18">C29 / R29</f>
        <v>19.01926782273603</v>
      </c>
      <c r="W29" s="65">
        <f t="shared" si="12"/>
        <v>19.01926782273603</v>
      </c>
      <c r="X29" s="27">
        <f t="shared" ref="X29:X54" si="19">C29 / V29</f>
        <v>8304</v>
      </c>
      <c r="Y29" s="66">
        <f t="shared" si="13"/>
        <v>8304</v>
      </c>
      <c r="Z29" s="27">
        <f t="shared" ref="Z29:Z54" si="20">ROUND(X29/R29, 2)</f>
        <v>1</v>
      </c>
      <c r="AA29" s="67">
        <f t="shared" si="14"/>
        <v>1</v>
      </c>
      <c r="AB29" s="28">
        <f t="shared" ref="AB29:AB54" si="21">ROUND(X29 / N29, 4)</f>
        <v>0.1951</v>
      </c>
      <c r="AC29" s="68">
        <f t="shared" si="15"/>
        <v>0.1951</v>
      </c>
      <c r="AD29" s="24">
        <v>78543</v>
      </c>
      <c r="AE29" s="24">
        <v>79393</v>
      </c>
      <c r="AF29" s="19">
        <v>0.49730903660000003</v>
      </c>
      <c r="AG29" s="63">
        <f t="shared" si="16"/>
        <v>0.49730000000000002</v>
      </c>
      <c r="AH29" s="64">
        <v>0.50269096339999997</v>
      </c>
      <c r="AI29" s="64">
        <f t="shared" si="17"/>
        <v>0.50270000000000004</v>
      </c>
    </row>
    <row r="30" spans="1:35" x14ac:dyDescent="0.2">
      <c r="A30" s="14">
        <v>45536</v>
      </c>
      <c r="B30" s="15" t="s">
        <v>29</v>
      </c>
      <c r="C30" s="16">
        <v>153828</v>
      </c>
      <c r="D30" s="17">
        <f t="shared" si="5"/>
        <v>153828</v>
      </c>
      <c r="E30" s="17">
        <v>30441</v>
      </c>
      <c r="F30" s="18">
        <v>0.19789999999999999</v>
      </c>
      <c r="G30" s="61">
        <f t="shared" si="6"/>
        <v>0.19789999999999999</v>
      </c>
      <c r="H30" s="18">
        <v>0.20910000000000001</v>
      </c>
      <c r="I30" s="61">
        <f t="shared" si="7"/>
        <v>0.20910000000000001</v>
      </c>
      <c r="J30" s="18">
        <v>0.33760000000000001</v>
      </c>
      <c r="K30" s="61">
        <f t="shared" si="8"/>
        <v>0.33760000000000001</v>
      </c>
      <c r="L30" s="18">
        <v>0.17699999999999999</v>
      </c>
      <c r="M30" s="61">
        <f t="shared" si="9"/>
        <v>0.17699999999999999</v>
      </c>
      <c r="N30" s="20">
        <v>38401</v>
      </c>
      <c r="O30" s="21">
        <f t="shared" si="10"/>
        <v>38401</v>
      </c>
      <c r="P30" s="21">
        <v>7658</v>
      </c>
      <c r="Q30" s="21">
        <v>30743</v>
      </c>
      <c r="R30" s="20">
        <v>8028</v>
      </c>
      <c r="S30" s="21">
        <f t="shared" si="11"/>
        <v>8028</v>
      </c>
      <c r="T30" s="21">
        <v>2585</v>
      </c>
      <c r="U30" s="21">
        <v>5443</v>
      </c>
      <c r="V30" s="26">
        <f t="shared" si="18"/>
        <v>19.161434977578477</v>
      </c>
      <c r="W30" s="65">
        <f t="shared" si="12"/>
        <v>19.161434977578477</v>
      </c>
      <c r="X30" s="27">
        <f t="shared" si="19"/>
        <v>8027.9999999999991</v>
      </c>
      <c r="Y30" s="67">
        <f t="shared" si="13"/>
        <v>8027.9999999999991</v>
      </c>
      <c r="Z30" s="27">
        <f t="shared" si="20"/>
        <v>1</v>
      </c>
      <c r="AA30" s="67">
        <f t="shared" si="14"/>
        <v>1</v>
      </c>
      <c r="AB30" s="28">
        <f t="shared" si="21"/>
        <v>0.20910000000000001</v>
      </c>
      <c r="AC30" s="68">
        <f t="shared" si="15"/>
        <v>0.20910000000000001</v>
      </c>
      <c r="AD30" s="24">
        <v>74109</v>
      </c>
      <c r="AE30" s="24">
        <v>79719</v>
      </c>
      <c r="AF30" s="19">
        <v>0.48176534830000001</v>
      </c>
      <c r="AG30" s="63">
        <f t="shared" si="16"/>
        <v>0.48180000000000001</v>
      </c>
      <c r="AH30" s="64">
        <v>0.51823465169999994</v>
      </c>
      <c r="AI30" s="64">
        <f t="shared" si="17"/>
        <v>0.51819999999999999</v>
      </c>
    </row>
    <row r="31" spans="1:35" x14ac:dyDescent="0.2">
      <c r="A31" s="14">
        <v>45566</v>
      </c>
      <c r="B31" s="15" t="s">
        <v>29</v>
      </c>
      <c r="C31" s="16">
        <v>162480</v>
      </c>
      <c r="D31" s="17">
        <f t="shared" si="5"/>
        <v>162480</v>
      </c>
      <c r="E31" s="17">
        <v>28164</v>
      </c>
      <c r="F31" s="18">
        <v>0.17330000000000001</v>
      </c>
      <c r="G31" s="61">
        <f t="shared" si="6"/>
        <v>0.17330000000000001</v>
      </c>
      <c r="H31" s="18">
        <v>0.21920000000000001</v>
      </c>
      <c r="I31" s="61">
        <f t="shared" si="7"/>
        <v>0.21920000000000001</v>
      </c>
      <c r="J31" s="18">
        <v>0.31709999999999999</v>
      </c>
      <c r="K31" s="61">
        <f t="shared" si="8"/>
        <v>0.31709999999999999</v>
      </c>
      <c r="L31" s="18">
        <v>0.1938</v>
      </c>
      <c r="M31" s="61">
        <f t="shared" si="9"/>
        <v>0.1938</v>
      </c>
      <c r="N31" s="20">
        <v>38675</v>
      </c>
      <c r="O31" s="21">
        <f t="shared" si="10"/>
        <v>38675</v>
      </c>
      <c r="P31" s="21">
        <v>7967</v>
      </c>
      <c r="Q31" s="21">
        <v>30708</v>
      </c>
      <c r="R31" s="20">
        <v>8478</v>
      </c>
      <c r="S31" s="21">
        <f t="shared" si="11"/>
        <v>8478</v>
      </c>
      <c r="T31" s="21">
        <v>2526</v>
      </c>
      <c r="U31" s="21">
        <v>5952</v>
      </c>
      <c r="V31" s="26">
        <f t="shared" si="18"/>
        <v>19.164897381457891</v>
      </c>
      <c r="W31" s="65">
        <f t="shared" si="12"/>
        <v>19.164897381457891</v>
      </c>
      <c r="X31" s="27">
        <f t="shared" si="19"/>
        <v>8478</v>
      </c>
      <c r="Y31" s="67">
        <f t="shared" si="13"/>
        <v>8478</v>
      </c>
      <c r="Z31" s="27">
        <f t="shared" si="20"/>
        <v>1</v>
      </c>
      <c r="AA31" s="67">
        <f t="shared" si="14"/>
        <v>1</v>
      </c>
      <c r="AB31" s="28">
        <f t="shared" si="21"/>
        <v>0.21920000000000001</v>
      </c>
      <c r="AC31" s="68">
        <f t="shared" si="15"/>
        <v>0.21920000000000001</v>
      </c>
      <c r="AD31" s="24">
        <v>72430</v>
      </c>
      <c r="AE31" s="24">
        <v>90050</v>
      </c>
      <c r="AF31" s="19">
        <v>0.44577794189999997</v>
      </c>
      <c r="AG31" s="63">
        <f t="shared" si="16"/>
        <v>0.44579999999999997</v>
      </c>
      <c r="AH31" s="64">
        <v>0.55422205810000003</v>
      </c>
      <c r="AI31" s="64">
        <f t="shared" si="17"/>
        <v>0.55420000000000003</v>
      </c>
    </row>
    <row r="32" spans="1:35" x14ac:dyDescent="0.2">
      <c r="A32" s="14">
        <v>45597</v>
      </c>
      <c r="B32" s="15" t="s">
        <v>29</v>
      </c>
      <c r="C32" s="16">
        <v>158885</v>
      </c>
      <c r="D32" s="17">
        <f t="shared" si="5"/>
        <v>158885</v>
      </c>
      <c r="E32" s="17">
        <v>26311</v>
      </c>
      <c r="F32" s="18">
        <v>0.1656</v>
      </c>
      <c r="G32" s="61">
        <f t="shared" si="6"/>
        <v>0.1656</v>
      </c>
      <c r="H32" s="18">
        <v>0.2185</v>
      </c>
      <c r="I32" s="61">
        <f t="shared" si="7"/>
        <v>0.2185</v>
      </c>
      <c r="J32" s="18">
        <v>0.33439999999999998</v>
      </c>
      <c r="K32" s="61">
        <f t="shared" si="8"/>
        <v>0.33439999999999998</v>
      </c>
      <c r="L32" s="18">
        <v>0.1978</v>
      </c>
      <c r="M32" s="61">
        <f t="shared" si="9"/>
        <v>0.1978</v>
      </c>
      <c r="N32" s="20">
        <v>38659</v>
      </c>
      <c r="O32" s="21">
        <f t="shared" si="10"/>
        <v>38659</v>
      </c>
      <c r="P32" s="21">
        <v>5858</v>
      </c>
      <c r="Q32" s="21">
        <v>32801</v>
      </c>
      <c r="R32" s="20">
        <v>8448</v>
      </c>
      <c r="S32" s="21">
        <f t="shared" si="11"/>
        <v>8448</v>
      </c>
      <c r="T32" s="21">
        <v>1959</v>
      </c>
      <c r="U32" s="21">
        <v>6489</v>
      </c>
      <c r="V32" s="26">
        <f t="shared" si="18"/>
        <v>18.807410037878789</v>
      </c>
      <c r="W32" s="65">
        <f t="shared" si="12"/>
        <v>18.807410037878789</v>
      </c>
      <c r="X32" s="27">
        <f t="shared" si="19"/>
        <v>8448</v>
      </c>
      <c r="Y32" s="67">
        <f t="shared" si="13"/>
        <v>8448</v>
      </c>
      <c r="Z32" s="27">
        <f t="shared" si="20"/>
        <v>1</v>
      </c>
      <c r="AA32" s="67">
        <f t="shared" si="14"/>
        <v>1</v>
      </c>
      <c r="AB32" s="28">
        <f t="shared" si="21"/>
        <v>0.2185</v>
      </c>
      <c r="AC32" s="68">
        <f t="shared" si="15"/>
        <v>0.2185</v>
      </c>
      <c r="AD32" s="24">
        <v>69552</v>
      </c>
      <c r="AE32" s="24">
        <v>89333</v>
      </c>
      <c r="AF32" s="19">
        <v>0.43775057429999997</v>
      </c>
      <c r="AG32" s="63">
        <f t="shared" si="16"/>
        <v>0.43780000000000002</v>
      </c>
      <c r="AH32" s="64">
        <v>0.56224942570000003</v>
      </c>
      <c r="AI32" s="64">
        <f t="shared" si="17"/>
        <v>0.56220000000000003</v>
      </c>
    </row>
    <row r="33" spans="1:35" x14ac:dyDescent="0.2">
      <c r="A33" s="14">
        <v>45627</v>
      </c>
      <c r="B33" s="15" t="s">
        <v>29</v>
      </c>
      <c r="C33" s="16">
        <v>144048</v>
      </c>
      <c r="D33" s="17">
        <f t="shared" si="5"/>
        <v>144048</v>
      </c>
      <c r="E33" s="17">
        <v>29089</v>
      </c>
      <c r="F33" s="18">
        <v>0.2019</v>
      </c>
      <c r="G33" s="61">
        <f t="shared" si="6"/>
        <v>0.2019</v>
      </c>
      <c r="H33" s="18">
        <v>0.2006</v>
      </c>
      <c r="I33" s="61">
        <f t="shared" si="7"/>
        <v>0.2006</v>
      </c>
      <c r="J33" s="18">
        <v>0.30830000000000002</v>
      </c>
      <c r="K33" s="61">
        <f t="shared" si="8"/>
        <v>0.30830000000000002</v>
      </c>
      <c r="L33" s="18">
        <v>0.16439999999999999</v>
      </c>
      <c r="M33" s="61">
        <f t="shared" si="9"/>
        <v>0.16439999999999999</v>
      </c>
      <c r="N33" s="20">
        <v>36413</v>
      </c>
      <c r="O33" s="21">
        <f t="shared" si="10"/>
        <v>36413</v>
      </c>
      <c r="P33" s="21">
        <v>9146</v>
      </c>
      <c r="Q33" s="21">
        <v>27267</v>
      </c>
      <c r="R33" s="20">
        <v>7303</v>
      </c>
      <c r="S33" s="21">
        <f t="shared" si="11"/>
        <v>7303</v>
      </c>
      <c r="T33" s="21">
        <v>2820</v>
      </c>
      <c r="U33" s="21">
        <v>4483</v>
      </c>
      <c r="V33" s="26">
        <f t="shared" si="18"/>
        <v>19.724496782144325</v>
      </c>
      <c r="W33" s="65">
        <f t="shared" si="12"/>
        <v>19.724496782144325</v>
      </c>
      <c r="X33" s="27">
        <f t="shared" si="19"/>
        <v>7303</v>
      </c>
      <c r="Y33" s="67">
        <f t="shared" si="13"/>
        <v>7303</v>
      </c>
      <c r="Z33" s="27">
        <f t="shared" si="20"/>
        <v>1</v>
      </c>
      <c r="AA33" s="67">
        <f t="shared" si="14"/>
        <v>1</v>
      </c>
      <c r="AB33" s="28">
        <f t="shared" si="21"/>
        <v>0.2006</v>
      </c>
      <c r="AC33" s="68">
        <f t="shared" si="15"/>
        <v>0.2006</v>
      </c>
      <c r="AD33" s="24">
        <v>66936</v>
      </c>
      <c r="AE33" s="24">
        <v>77112</v>
      </c>
      <c r="AF33" s="19">
        <v>0.46467844049999996</v>
      </c>
      <c r="AG33" s="63">
        <f t="shared" si="16"/>
        <v>0.4647</v>
      </c>
      <c r="AH33" s="64">
        <v>0.53532155950000004</v>
      </c>
      <c r="AI33" s="64">
        <f t="shared" si="17"/>
        <v>0.5353</v>
      </c>
    </row>
    <row r="34" spans="1:35" x14ac:dyDescent="0.2">
      <c r="A34" s="14">
        <v>45658</v>
      </c>
      <c r="B34" s="15" t="s">
        <v>29</v>
      </c>
      <c r="C34" s="16">
        <v>200911</v>
      </c>
      <c r="D34" s="17">
        <f t="shared" si="5"/>
        <v>200911</v>
      </c>
      <c r="E34" s="17">
        <v>38753</v>
      </c>
      <c r="F34" s="18">
        <v>0.19289999999999999</v>
      </c>
      <c r="G34" s="61">
        <f t="shared" si="6"/>
        <v>0.19289999999999999</v>
      </c>
      <c r="H34" s="18">
        <v>0.19020000000000001</v>
      </c>
      <c r="I34" s="61">
        <f t="shared" si="7"/>
        <v>0.19020000000000001</v>
      </c>
      <c r="J34" s="18">
        <v>0.28199999999999997</v>
      </c>
      <c r="K34" s="61">
        <f t="shared" si="8"/>
        <v>0.28199999999999997</v>
      </c>
      <c r="L34" s="18">
        <v>0.13800000000000001</v>
      </c>
      <c r="M34" s="61">
        <f t="shared" si="9"/>
        <v>0.13800000000000001</v>
      </c>
      <c r="N34" s="20">
        <v>53198</v>
      </c>
      <c r="O34" s="21">
        <f t="shared" si="10"/>
        <v>53198</v>
      </c>
      <c r="P34" s="21">
        <v>19278</v>
      </c>
      <c r="Q34" s="21">
        <v>33920</v>
      </c>
      <c r="R34" s="20">
        <v>10117</v>
      </c>
      <c r="S34" s="21">
        <f t="shared" si="11"/>
        <v>10117</v>
      </c>
      <c r="T34" s="21">
        <v>5437</v>
      </c>
      <c r="U34" s="21">
        <v>4680</v>
      </c>
      <c r="V34" s="26">
        <f t="shared" si="18"/>
        <v>19.858752594642681</v>
      </c>
      <c r="W34" s="65">
        <f t="shared" si="12"/>
        <v>19.858752594642681</v>
      </c>
      <c r="X34" s="27">
        <f t="shared" si="19"/>
        <v>10117</v>
      </c>
      <c r="Y34" s="67">
        <f t="shared" si="13"/>
        <v>10117</v>
      </c>
      <c r="Z34" s="27">
        <f t="shared" si="20"/>
        <v>1</v>
      </c>
      <c r="AA34" s="67">
        <f t="shared" si="14"/>
        <v>1</v>
      </c>
      <c r="AB34" s="28">
        <f t="shared" si="21"/>
        <v>0.19020000000000001</v>
      </c>
      <c r="AC34" s="68">
        <f t="shared" si="15"/>
        <v>0.19020000000000001</v>
      </c>
      <c r="AD34" s="24">
        <v>108909</v>
      </c>
      <c r="AE34" s="24">
        <v>92002</v>
      </c>
      <c r="AF34" s="19">
        <v>0.54207584450000001</v>
      </c>
      <c r="AG34" s="63">
        <f t="shared" si="16"/>
        <v>0.54210000000000003</v>
      </c>
      <c r="AH34" s="64">
        <v>0.45792415549999999</v>
      </c>
      <c r="AI34" s="64">
        <f t="shared" si="17"/>
        <v>0.45789999999999997</v>
      </c>
    </row>
    <row r="35" spans="1:35" x14ac:dyDescent="0.2">
      <c r="A35" s="14">
        <v>45689</v>
      </c>
      <c r="B35" s="15" t="s">
        <v>29</v>
      </c>
      <c r="C35" s="16">
        <v>171789</v>
      </c>
      <c r="D35" s="17">
        <f t="shared" si="5"/>
        <v>171789</v>
      </c>
      <c r="E35" s="17">
        <v>33744</v>
      </c>
      <c r="F35" s="18">
        <v>0.19639999999999999</v>
      </c>
      <c r="G35" s="61">
        <f t="shared" si="6"/>
        <v>0.19639999999999999</v>
      </c>
      <c r="H35" s="18">
        <v>0.1946</v>
      </c>
      <c r="I35" s="61">
        <f t="shared" si="7"/>
        <v>0.1946</v>
      </c>
      <c r="J35" s="18">
        <v>0.25979999999999998</v>
      </c>
      <c r="K35" s="61">
        <f t="shared" si="8"/>
        <v>0.25979999999999998</v>
      </c>
      <c r="L35" s="18">
        <v>0.15129999999999999</v>
      </c>
      <c r="M35" s="61">
        <f t="shared" si="9"/>
        <v>0.15129999999999999</v>
      </c>
      <c r="N35" s="20">
        <v>43584</v>
      </c>
      <c r="O35" s="21">
        <f t="shared" si="10"/>
        <v>43584</v>
      </c>
      <c r="P35" s="21">
        <v>17402</v>
      </c>
      <c r="Q35" s="21">
        <v>26182</v>
      </c>
      <c r="R35" s="20">
        <v>8482</v>
      </c>
      <c r="S35" s="21">
        <f t="shared" si="11"/>
        <v>8482</v>
      </c>
      <c r="T35" s="21">
        <v>4521</v>
      </c>
      <c r="U35" s="21">
        <v>3961</v>
      </c>
      <c r="V35" s="26">
        <f t="shared" si="18"/>
        <v>20.253360056590427</v>
      </c>
      <c r="W35" s="65">
        <f t="shared" si="12"/>
        <v>20.253360056590427</v>
      </c>
      <c r="X35" s="27">
        <f t="shared" si="19"/>
        <v>8482</v>
      </c>
      <c r="Y35" s="67">
        <f t="shared" si="13"/>
        <v>8482</v>
      </c>
      <c r="Z35" s="27">
        <f t="shared" si="20"/>
        <v>1</v>
      </c>
      <c r="AA35" s="67">
        <f t="shared" si="14"/>
        <v>1</v>
      </c>
      <c r="AB35" s="28">
        <f t="shared" si="21"/>
        <v>0.1946</v>
      </c>
      <c r="AC35" s="68">
        <f t="shared" si="15"/>
        <v>0.1946</v>
      </c>
      <c r="AD35" s="24">
        <v>85980</v>
      </c>
      <c r="AE35" s="24">
        <v>85809</v>
      </c>
      <c r="AF35" s="19">
        <v>0.50049770360000001</v>
      </c>
      <c r="AG35" s="63">
        <f t="shared" si="16"/>
        <v>0.50049999999999994</v>
      </c>
      <c r="AH35" s="64">
        <v>0.49950229640000005</v>
      </c>
      <c r="AI35" s="64">
        <f t="shared" si="17"/>
        <v>0.4995</v>
      </c>
    </row>
    <row r="36" spans="1:35" x14ac:dyDescent="0.2">
      <c r="A36" s="14">
        <v>45717</v>
      </c>
      <c r="B36" s="15" t="s">
        <v>29</v>
      </c>
      <c r="C36" s="16">
        <v>160501</v>
      </c>
      <c r="D36" s="17">
        <f t="shared" si="5"/>
        <v>160501</v>
      </c>
      <c r="E36" s="17">
        <v>50164</v>
      </c>
      <c r="F36" s="18">
        <v>0.3125</v>
      </c>
      <c r="G36" s="61">
        <f t="shared" si="6"/>
        <v>0.3125</v>
      </c>
      <c r="H36" s="18">
        <v>0.2142</v>
      </c>
      <c r="I36" s="61">
        <f t="shared" si="7"/>
        <v>0.2142</v>
      </c>
      <c r="J36" s="18">
        <v>0.36230000000000001</v>
      </c>
      <c r="K36" s="61">
        <f t="shared" si="8"/>
        <v>0.36230000000000001</v>
      </c>
      <c r="L36" s="18">
        <v>0.20369999999999999</v>
      </c>
      <c r="M36" s="61">
        <f t="shared" si="9"/>
        <v>0.20369999999999999</v>
      </c>
      <c r="N36" s="20">
        <v>37922</v>
      </c>
      <c r="O36" s="21">
        <f t="shared" si="10"/>
        <v>37922</v>
      </c>
      <c r="P36" s="21">
        <v>2498</v>
      </c>
      <c r="Q36" s="21">
        <v>35424</v>
      </c>
      <c r="R36" s="20">
        <v>8121</v>
      </c>
      <c r="S36" s="21">
        <f t="shared" si="11"/>
        <v>8121</v>
      </c>
      <c r="T36" s="15">
        <v>905</v>
      </c>
      <c r="U36" s="21">
        <v>7216</v>
      </c>
      <c r="V36" s="26">
        <f t="shared" si="18"/>
        <v>19.763699051840906</v>
      </c>
      <c r="W36" s="65">
        <f t="shared" si="12"/>
        <v>19.763699051840906</v>
      </c>
      <c r="X36" s="27">
        <f t="shared" si="19"/>
        <v>8121</v>
      </c>
      <c r="Y36" s="67">
        <f t="shared" si="13"/>
        <v>8121</v>
      </c>
      <c r="Z36" s="27">
        <f t="shared" si="20"/>
        <v>1</v>
      </c>
      <c r="AA36" s="67">
        <f t="shared" si="14"/>
        <v>1</v>
      </c>
      <c r="AB36" s="28">
        <f t="shared" si="21"/>
        <v>0.2142</v>
      </c>
      <c r="AC36" s="68">
        <f t="shared" si="15"/>
        <v>0.2142</v>
      </c>
      <c r="AD36" s="24">
        <v>63043</v>
      </c>
      <c r="AE36" s="24">
        <v>97458</v>
      </c>
      <c r="AF36" s="19">
        <v>0.39278882999999998</v>
      </c>
      <c r="AG36" s="63">
        <f t="shared" si="16"/>
        <v>0.39279999999999998</v>
      </c>
      <c r="AH36" s="64">
        <v>0.60721117000000002</v>
      </c>
      <c r="AI36" s="64">
        <f t="shared" si="17"/>
        <v>0.60719999999999996</v>
      </c>
    </row>
    <row r="37" spans="1:35" x14ac:dyDescent="0.2">
      <c r="A37" s="14">
        <v>45748</v>
      </c>
      <c r="B37" s="15" t="s">
        <v>29</v>
      </c>
      <c r="C37" s="16">
        <v>145519</v>
      </c>
      <c r="D37" s="17">
        <f t="shared" si="5"/>
        <v>145519</v>
      </c>
      <c r="E37" s="17">
        <v>35234</v>
      </c>
      <c r="F37" s="18">
        <v>0.24210000000000001</v>
      </c>
      <c r="G37" s="61">
        <f t="shared" si="6"/>
        <v>0.24210000000000001</v>
      </c>
      <c r="H37" s="18">
        <v>0.223</v>
      </c>
      <c r="I37" s="61">
        <f t="shared" si="7"/>
        <v>0.223</v>
      </c>
      <c r="J37" s="18">
        <v>0.28899999999999998</v>
      </c>
      <c r="K37" s="61">
        <f t="shared" si="8"/>
        <v>0.28899999999999998</v>
      </c>
      <c r="L37" s="18">
        <v>0.1895</v>
      </c>
      <c r="M37" s="61">
        <f t="shared" si="9"/>
        <v>0.1895</v>
      </c>
      <c r="N37" s="20">
        <v>32328</v>
      </c>
      <c r="O37" s="21">
        <f t="shared" si="10"/>
        <v>32328</v>
      </c>
      <c r="P37" s="21">
        <v>10864</v>
      </c>
      <c r="Q37" s="21">
        <v>21464</v>
      </c>
      <c r="R37" s="20">
        <v>7208</v>
      </c>
      <c r="S37" s="21">
        <f t="shared" si="11"/>
        <v>7208</v>
      </c>
      <c r="T37" s="21">
        <v>3140</v>
      </c>
      <c r="U37" s="21">
        <v>4068</v>
      </c>
      <c r="V37" s="26">
        <f t="shared" si="18"/>
        <v>20.188540510543842</v>
      </c>
      <c r="W37" s="65">
        <f t="shared" si="12"/>
        <v>20.188540510543842</v>
      </c>
      <c r="X37" s="27">
        <f t="shared" si="19"/>
        <v>7207.9999999999991</v>
      </c>
      <c r="Y37" s="67">
        <f t="shared" si="13"/>
        <v>7207.9999999999991</v>
      </c>
      <c r="Z37" s="27">
        <f t="shared" si="20"/>
        <v>1</v>
      </c>
      <c r="AA37" s="67">
        <f t="shared" si="14"/>
        <v>1</v>
      </c>
      <c r="AB37" s="28">
        <f t="shared" si="21"/>
        <v>0.223</v>
      </c>
      <c r="AC37" s="68">
        <f t="shared" si="15"/>
        <v>0.223</v>
      </c>
      <c r="AD37" s="24">
        <v>56854</v>
      </c>
      <c r="AE37" s="24">
        <v>88665</v>
      </c>
      <c r="AF37" s="19">
        <v>0.39069812190000003</v>
      </c>
      <c r="AG37" s="63">
        <f t="shared" si="16"/>
        <v>0.39069999999999999</v>
      </c>
      <c r="AH37" s="64">
        <v>0.60930187810000003</v>
      </c>
      <c r="AI37" s="64">
        <f t="shared" si="17"/>
        <v>0.60929999999999995</v>
      </c>
    </row>
    <row r="38" spans="1:35" x14ac:dyDescent="0.2">
      <c r="A38" s="14">
        <v>45778</v>
      </c>
      <c r="B38" s="15" t="s">
        <v>29</v>
      </c>
      <c r="C38" s="16">
        <v>150656</v>
      </c>
      <c r="D38" s="17">
        <f t="shared" si="5"/>
        <v>150656</v>
      </c>
      <c r="E38" s="17">
        <v>34523</v>
      </c>
      <c r="F38" s="18">
        <v>0.22919999999999999</v>
      </c>
      <c r="G38" s="61">
        <f t="shared" si="6"/>
        <v>0.22919999999999999</v>
      </c>
      <c r="H38" s="18">
        <v>0.2276</v>
      </c>
      <c r="I38" s="61">
        <f t="shared" si="7"/>
        <v>0.2276</v>
      </c>
      <c r="J38" s="18">
        <v>0.28870000000000001</v>
      </c>
      <c r="K38" s="61">
        <f t="shared" si="8"/>
        <v>0.28870000000000001</v>
      </c>
      <c r="L38" s="18">
        <v>0.1938</v>
      </c>
      <c r="M38" s="61">
        <f t="shared" si="9"/>
        <v>0.1938</v>
      </c>
      <c r="N38" s="20">
        <v>33319</v>
      </c>
      <c r="O38" s="21">
        <f t="shared" si="10"/>
        <v>33319</v>
      </c>
      <c r="P38" s="21">
        <v>11842</v>
      </c>
      <c r="Q38" s="21">
        <v>21477</v>
      </c>
      <c r="R38" s="20">
        <v>7582</v>
      </c>
      <c r="S38" s="21">
        <f t="shared" si="11"/>
        <v>7582</v>
      </c>
      <c r="T38" s="21">
        <v>3419</v>
      </c>
      <c r="U38" s="21">
        <v>4163</v>
      </c>
      <c r="V38" s="26">
        <f t="shared" si="18"/>
        <v>19.870218939593776</v>
      </c>
      <c r="W38" s="65">
        <f t="shared" si="12"/>
        <v>19.870218939593776</v>
      </c>
      <c r="X38" s="27">
        <f t="shared" si="19"/>
        <v>7581.9999999999991</v>
      </c>
      <c r="Y38" s="67">
        <f t="shared" si="13"/>
        <v>7581.9999999999991</v>
      </c>
      <c r="Z38" s="27">
        <f t="shared" si="20"/>
        <v>1</v>
      </c>
      <c r="AA38" s="67">
        <f t="shared" si="14"/>
        <v>1</v>
      </c>
      <c r="AB38" s="28">
        <f t="shared" si="21"/>
        <v>0.2276</v>
      </c>
      <c r="AC38" s="68">
        <f t="shared" si="15"/>
        <v>0.2276</v>
      </c>
      <c r="AD38" s="24">
        <v>59553</v>
      </c>
      <c r="AE38" s="24">
        <v>91103</v>
      </c>
      <c r="AF38" s="19">
        <v>0.3952912596</v>
      </c>
      <c r="AG38" s="63">
        <f t="shared" si="16"/>
        <v>0.39529999999999998</v>
      </c>
      <c r="AH38" s="64">
        <v>0.6047087404</v>
      </c>
      <c r="AI38" s="64">
        <f t="shared" si="17"/>
        <v>0.60470000000000002</v>
      </c>
    </row>
    <row r="39" spans="1:35" x14ac:dyDescent="0.2">
      <c r="A39" s="14">
        <v>45809</v>
      </c>
      <c r="B39" s="15" t="s">
        <v>29</v>
      </c>
      <c r="C39" s="16">
        <v>148763</v>
      </c>
      <c r="D39" s="17">
        <f t="shared" si="5"/>
        <v>148763</v>
      </c>
      <c r="E39" s="17">
        <v>30594</v>
      </c>
      <c r="F39" s="18">
        <v>0.20569999999999999</v>
      </c>
      <c r="G39" s="61">
        <f t="shared" si="6"/>
        <v>0.20569999999999999</v>
      </c>
      <c r="H39" s="18">
        <v>0.2472</v>
      </c>
      <c r="I39" s="61">
        <f t="shared" si="7"/>
        <v>0.2472</v>
      </c>
      <c r="J39" s="18">
        <v>0.29210000000000003</v>
      </c>
      <c r="K39" s="61">
        <f t="shared" si="8"/>
        <v>0.29210000000000003</v>
      </c>
      <c r="L39" s="18">
        <v>0.21929999999999999</v>
      </c>
      <c r="M39" s="61">
        <f t="shared" si="9"/>
        <v>0.21929999999999999</v>
      </c>
      <c r="N39" s="20">
        <v>30323</v>
      </c>
      <c r="O39" s="21">
        <f t="shared" si="10"/>
        <v>30323</v>
      </c>
      <c r="P39" s="21">
        <v>11623</v>
      </c>
      <c r="Q39" s="21">
        <v>18700</v>
      </c>
      <c r="R39" s="20">
        <v>7495</v>
      </c>
      <c r="S39" s="21">
        <f t="shared" si="11"/>
        <v>7495</v>
      </c>
      <c r="T39" s="21">
        <v>3395</v>
      </c>
      <c r="U39" s="21">
        <v>4100</v>
      </c>
      <c r="V39" s="26">
        <f t="shared" si="18"/>
        <v>19.848298865910607</v>
      </c>
      <c r="W39" s="65">
        <f t="shared" si="12"/>
        <v>19.848298865910607</v>
      </c>
      <c r="X39" s="27">
        <f t="shared" si="19"/>
        <v>7495</v>
      </c>
      <c r="Y39" s="67">
        <f t="shared" si="13"/>
        <v>7495</v>
      </c>
      <c r="Z39" s="27">
        <f t="shared" si="20"/>
        <v>1</v>
      </c>
      <c r="AA39" s="67">
        <f t="shared" si="14"/>
        <v>1</v>
      </c>
      <c r="AB39" s="28">
        <f t="shared" si="21"/>
        <v>0.2472</v>
      </c>
      <c r="AC39" s="68">
        <f t="shared" si="15"/>
        <v>0.2472</v>
      </c>
      <c r="AD39" s="24">
        <v>59979</v>
      </c>
      <c r="AE39" s="24">
        <v>88784</v>
      </c>
      <c r="AF39" s="19">
        <v>0.40318493170000003</v>
      </c>
      <c r="AG39" s="63">
        <f t="shared" si="16"/>
        <v>0.4032</v>
      </c>
      <c r="AH39" s="64">
        <v>0.59681506829999997</v>
      </c>
      <c r="AI39" s="64">
        <f t="shared" si="17"/>
        <v>0.5968</v>
      </c>
    </row>
    <row r="40" spans="1:35" x14ac:dyDescent="0.2">
      <c r="A40" s="14">
        <v>45839</v>
      </c>
      <c r="B40" s="15" t="s">
        <v>29</v>
      </c>
      <c r="C40" s="16">
        <v>175649</v>
      </c>
      <c r="D40" s="17">
        <f t="shared" si="5"/>
        <v>175649</v>
      </c>
      <c r="E40" s="17">
        <v>41857</v>
      </c>
      <c r="F40" s="18">
        <v>0.23830000000000001</v>
      </c>
      <c r="G40" s="61">
        <f t="shared" si="6"/>
        <v>0.23830000000000001</v>
      </c>
      <c r="H40" s="18">
        <v>0.26119999999999999</v>
      </c>
      <c r="I40" s="61">
        <f t="shared" si="7"/>
        <v>0.26119999999999999</v>
      </c>
      <c r="J40" s="18">
        <v>0.29210000000000003</v>
      </c>
      <c r="K40" s="61">
        <f t="shared" si="8"/>
        <v>0.29210000000000003</v>
      </c>
      <c r="L40" s="18">
        <v>0.24840000000000001</v>
      </c>
      <c r="M40" s="61">
        <f t="shared" si="9"/>
        <v>0.24840000000000001</v>
      </c>
      <c r="N40" s="20">
        <v>34143</v>
      </c>
      <c r="O40" s="21">
        <f t="shared" si="10"/>
        <v>34143</v>
      </c>
      <c r="P40" s="21">
        <v>10013</v>
      </c>
      <c r="Q40" s="21">
        <v>24130</v>
      </c>
      <c r="R40" s="20">
        <v>8919</v>
      </c>
      <c r="S40" s="21">
        <f t="shared" si="11"/>
        <v>8919</v>
      </c>
      <c r="T40" s="21">
        <v>2925</v>
      </c>
      <c r="U40" s="21">
        <v>5994</v>
      </c>
      <c r="V40" s="26">
        <f t="shared" si="18"/>
        <v>19.693799753335576</v>
      </c>
      <c r="W40" s="65">
        <f t="shared" si="12"/>
        <v>19.693799753335576</v>
      </c>
      <c r="X40" s="27">
        <f t="shared" si="19"/>
        <v>8919</v>
      </c>
      <c r="Y40" s="67">
        <f t="shared" si="13"/>
        <v>8919</v>
      </c>
      <c r="Z40" s="27">
        <f t="shared" si="20"/>
        <v>1</v>
      </c>
      <c r="AA40" s="67">
        <f t="shared" si="14"/>
        <v>1</v>
      </c>
      <c r="AB40" s="28">
        <f t="shared" si="21"/>
        <v>0.26119999999999999</v>
      </c>
      <c r="AC40" s="68">
        <f t="shared" si="15"/>
        <v>0.26119999999999999</v>
      </c>
      <c r="AD40" s="24">
        <v>65609</v>
      </c>
      <c r="AE40" s="24">
        <v>110040</v>
      </c>
      <c r="AF40" s="19">
        <v>0.3735233335</v>
      </c>
      <c r="AG40" s="63">
        <f t="shared" si="16"/>
        <v>0.3735</v>
      </c>
      <c r="AH40" s="64">
        <v>0.6264766665</v>
      </c>
      <c r="AI40" s="64">
        <f t="shared" si="17"/>
        <v>0.62649999999999995</v>
      </c>
    </row>
    <row r="41" spans="1:35" x14ac:dyDescent="0.2">
      <c r="A41" s="14">
        <v>45870</v>
      </c>
      <c r="B41" s="15" t="s">
        <v>29</v>
      </c>
      <c r="C41" s="16">
        <v>138402</v>
      </c>
      <c r="D41" s="17">
        <f t="shared" si="5"/>
        <v>138402</v>
      </c>
      <c r="E41" s="17">
        <v>33011</v>
      </c>
      <c r="F41" s="18">
        <v>0.23849999999999999</v>
      </c>
      <c r="G41" s="61">
        <f t="shared" si="6"/>
        <v>0.23849999999999999</v>
      </c>
      <c r="H41" s="18">
        <v>0.27329999999999999</v>
      </c>
      <c r="I41" s="61">
        <f t="shared" si="7"/>
        <v>0.27329999999999999</v>
      </c>
      <c r="J41" s="18">
        <v>0.3347</v>
      </c>
      <c r="K41" s="61">
        <f t="shared" si="8"/>
        <v>0.3347</v>
      </c>
      <c r="L41" s="18">
        <v>0.23830000000000001</v>
      </c>
      <c r="M41" s="61">
        <f t="shared" si="9"/>
        <v>0.23830000000000001</v>
      </c>
      <c r="N41" s="20">
        <v>26750</v>
      </c>
      <c r="O41" s="21">
        <f t="shared" si="10"/>
        <v>26750</v>
      </c>
      <c r="P41" s="21">
        <v>9710</v>
      </c>
      <c r="Q41" s="21">
        <v>17040</v>
      </c>
      <c r="R41" s="20">
        <v>7310</v>
      </c>
      <c r="S41" s="21">
        <f t="shared" si="11"/>
        <v>7310</v>
      </c>
      <c r="T41" s="21">
        <v>3250</v>
      </c>
      <c r="U41" s="21">
        <v>4060</v>
      </c>
      <c r="V41" s="26">
        <f t="shared" si="18"/>
        <v>18.933242134062926</v>
      </c>
      <c r="W41" s="65">
        <f t="shared" si="12"/>
        <v>18.933242134062926</v>
      </c>
      <c r="X41" s="27">
        <f t="shared" si="19"/>
        <v>7310.0000000000009</v>
      </c>
      <c r="Y41" s="67">
        <f t="shared" si="13"/>
        <v>7310.0000000000009</v>
      </c>
      <c r="Z41" s="27">
        <f t="shared" si="20"/>
        <v>1</v>
      </c>
      <c r="AA41" s="67">
        <f t="shared" si="14"/>
        <v>1</v>
      </c>
      <c r="AB41" s="28">
        <f t="shared" si="21"/>
        <v>0.27329999999999999</v>
      </c>
      <c r="AC41" s="68">
        <f t="shared" si="15"/>
        <v>0.27329999999999999</v>
      </c>
      <c r="AD41" s="24">
        <v>52608</v>
      </c>
      <c r="AE41" s="24">
        <v>85794</v>
      </c>
      <c r="AF41" s="19">
        <v>0.380110114</v>
      </c>
      <c r="AG41" s="63">
        <f t="shared" si="16"/>
        <v>0.38009999999999999</v>
      </c>
      <c r="AH41" s="64">
        <v>0.61988988599999995</v>
      </c>
      <c r="AI41" s="64">
        <f t="shared" si="17"/>
        <v>0.61990000000000001</v>
      </c>
    </row>
    <row r="42" spans="1:35" x14ac:dyDescent="0.2">
      <c r="A42" s="14">
        <v>45505</v>
      </c>
      <c r="B42" s="15" t="s">
        <v>30</v>
      </c>
      <c r="C42" s="16">
        <v>73428</v>
      </c>
      <c r="D42" s="17">
        <f t="shared" si="5"/>
        <v>73428</v>
      </c>
      <c r="E42" s="17">
        <v>14579</v>
      </c>
      <c r="F42" s="19">
        <v>0.1986</v>
      </c>
      <c r="G42" s="61">
        <f t="shared" si="6"/>
        <v>0.19850000000000001</v>
      </c>
      <c r="H42" s="18">
        <v>0.30580000000000002</v>
      </c>
      <c r="I42" s="61">
        <f t="shared" si="7"/>
        <v>0.30580000000000002</v>
      </c>
      <c r="J42" s="18">
        <v>0.378</v>
      </c>
      <c r="K42" s="61">
        <f t="shared" si="8"/>
        <v>0.378</v>
      </c>
      <c r="L42" s="18">
        <v>0.2777</v>
      </c>
      <c r="M42" s="61">
        <f t="shared" si="9"/>
        <v>0.2777</v>
      </c>
      <c r="N42" s="20">
        <v>11469</v>
      </c>
      <c r="O42" s="21">
        <f t="shared" si="10"/>
        <v>11469</v>
      </c>
      <c r="P42" s="21">
        <v>3206</v>
      </c>
      <c r="Q42" s="21">
        <v>8263</v>
      </c>
      <c r="R42" s="20">
        <v>3507</v>
      </c>
      <c r="S42" s="21">
        <f t="shared" si="11"/>
        <v>3507</v>
      </c>
      <c r="T42" s="21">
        <v>1212</v>
      </c>
      <c r="U42" s="21">
        <v>2295</v>
      </c>
      <c r="V42" s="26">
        <f t="shared" si="18"/>
        <v>20.937553464499572</v>
      </c>
      <c r="W42" s="65">
        <f t="shared" si="12"/>
        <v>20.937553464499572</v>
      </c>
      <c r="X42" s="27">
        <f t="shared" si="19"/>
        <v>3507</v>
      </c>
      <c r="Y42" s="67">
        <f t="shared" si="13"/>
        <v>3507</v>
      </c>
      <c r="Z42" s="27">
        <f t="shared" si="20"/>
        <v>1</v>
      </c>
      <c r="AA42" s="67">
        <f t="shared" si="14"/>
        <v>1</v>
      </c>
      <c r="AB42" s="28">
        <f t="shared" si="21"/>
        <v>0.30580000000000002</v>
      </c>
      <c r="AC42" s="68">
        <f t="shared" si="15"/>
        <v>0.30580000000000002</v>
      </c>
      <c r="AD42" s="24">
        <v>34682</v>
      </c>
      <c r="AE42" s="24">
        <v>38746</v>
      </c>
      <c r="AF42" s="19">
        <v>0.47232663289999999</v>
      </c>
      <c r="AG42" s="63">
        <f t="shared" si="16"/>
        <v>0.4723</v>
      </c>
      <c r="AH42" s="64">
        <v>0.52767336710000001</v>
      </c>
      <c r="AI42" s="64">
        <f t="shared" si="17"/>
        <v>0.52769999999999995</v>
      </c>
    </row>
    <row r="43" spans="1:35" x14ac:dyDescent="0.2">
      <c r="A43" s="14">
        <v>45536</v>
      </c>
      <c r="B43" s="15" t="s">
        <v>30</v>
      </c>
      <c r="C43" s="16">
        <v>94601</v>
      </c>
      <c r="D43" s="17">
        <f t="shared" si="5"/>
        <v>94601</v>
      </c>
      <c r="E43" s="17">
        <v>18329</v>
      </c>
      <c r="F43" s="19">
        <v>0.19370000000000001</v>
      </c>
      <c r="G43" s="61">
        <f t="shared" si="6"/>
        <v>0.1938</v>
      </c>
      <c r="H43" s="18">
        <v>0.3125</v>
      </c>
      <c r="I43" s="61">
        <f t="shared" si="7"/>
        <v>0.3125</v>
      </c>
      <c r="J43" s="18">
        <v>0.34960000000000002</v>
      </c>
      <c r="K43" s="61">
        <f t="shared" si="8"/>
        <v>0.34960000000000002</v>
      </c>
      <c r="L43" s="18">
        <v>0.30990000000000001</v>
      </c>
      <c r="M43" s="61">
        <f t="shared" si="9"/>
        <v>0.30990000000000001</v>
      </c>
      <c r="N43" s="20">
        <v>15356</v>
      </c>
      <c r="O43" s="21">
        <f t="shared" si="10"/>
        <v>15356</v>
      </c>
      <c r="P43" s="21">
        <v>1024</v>
      </c>
      <c r="Q43" s="21">
        <v>14332</v>
      </c>
      <c r="R43" s="20">
        <v>4799</v>
      </c>
      <c r="S43" s="21">
        <f t="shared" si="11"/>
        <v>4799</v>
      </c>
      <c r="T43" s="15">
        <v>358</v>
      </c>
      <c r="U43" s="21">
        <v>4441</v>
      </c>
      <c r="V43" s="26">
        <f t="shared" si="18"/>
        <v>19.712648468430924</v>
      </c>
      <c r="W43" s="65">
        <f t="shared" si="12"/>
        <v>19.712648468430924</v>
      </c>
      <c r="X43" s="27">
        <f t="shared" si="19"/>
        <v>4799</v>
      </c>
      <c r="Y43" s="67">
        <f t="shared" si="13"/>
        <v>4799</v>
      </c>
      <c r="Z43" s="27">
        <f t="shared" si="20"/>
        <v>1</v>
      </c>
      <c r="AA43" s="67">
        <f t="shared" si="14"/>
        <v>1</v>
      </c>
      <c r="AB43" s="28">
        <f t="shared" si="21"/>
        <v>0.3125</v>
      </c>
      <c r="AC43" s="68">
        <f t="shared" si="15"/>
        <v>0.3125</v>
      </c>
      <c r="AD43" s="24">
        <v>47718</v>
      </c>
      <c r="AE43" s="24">
        <v>46883</v>
      </c>
      <c r="AF43" s="19">
        <v>0.50441327260000002</v>
      </c>
      <c r="AG43" s="63">
        <f t="shared" si="16"/>
        <v>0.50439999999999996</v>
      </c>
      <c r="AH43" s="64">
        <v>0.49558672739999998</v>
      </c>
      <c r="AI43" s="64">
        <f t="shared" si="17"/>
        <v>0.49559999999999998</v>
      </c>
    </row>
    <row r="44" spans="1:35" x14ac:dyDescent="0.2">
      <c r="A44" s="14">
        <v>45566</v>
      </c>
      <c r="B44" s="15" t="s">
        <v>30</v>
      </c>
      <c r="C44" s="16">
        <v>117918</v>
      </c>
      <c r="D44" s="17">
        <f t="shared" si="5"/>
        <v>117918</v>
      </c>
      <c r="E44" s="17">
        <v>19809</v>
      </c>
      <c r="F44" s="19">
        <v>0.16800000000000001</v>
      </c>
      <c r="G44" s="61">
        <f t="shared" si="6"/>
        <v>0.16800000000000001</v>
      </c>
      <c r="H44" s="18">
        <v>0.2828</v>
      </c>
      <c r="I44" s="61">
        <f t="shared" si="7"/>
        <v>0.2828</v>
      </c>
      <c r="J44" s="18">
        <v>0.33439999999999998</v>
      </c>
      <c r="K44" s="61">
        <f t="shared" si="8"/>
        <v>0.33439999999999998</v>
      </c>
      <c r="L44" s="18">
        <v>0.2671</v>
      </c>
      <c r="M44" s="61">
        <f t="shared" si="9"/>
        <v>0.2671</v>
      </c>
      <c r="N44" s="20">
        <v>20833</v>
      </c>
      <c r="O44" s="21">
        <f t="shared" si="10"/>
        <v>20833</v>
      </c>
      <c r="P44" s="21">
        <v>4844</v>
      </c>
      <c r="Q44" s="21">
        <v>15989</v>
      </c>
      <c r="R44" s="20">
        <v>5891</v>
      </c>
      <c r="S44" s="21">
        <f t="shared" si="11"/>
        <v>5891</v>
      </c>
      <c r="T44" s="21">
        <v>1620</v>
      </c>
      <c r="U44" s="21">
        <v>4271</v>
      </c>
      <c r="V44" s="26">
        <f t="shared" si="18"/>
        <v>20.01663554574775</v>
      </c>
      <c r="W44" s="65">
        <f t="shared" si="12"/>
        <v>20.01663554574775</v>
      </c>
      <c r="X44" s="27">
        <f t="shared" si="19"/>
        <v>5891</v>
      </c>
      <c r="Y44" s="67">
        <f t="shared" si="13"/>
        <v>5891</v>
      </c>
      <c r="Z44" s="27">
        <f t="shared" si="20"/>
        <v>1</v>
      </c>
      <c r="AA44" s="67">
        <f t="shared" si="14"/>
        <v>1</v>
      </c>
      <c r="AB44" s="28">
        <f t="shared" si="21"/>
        <v>0.2828</v>
      </c>
      <c r="AC44" s="68">
        <f t="shared" si="15"/>
        <v>0.2828</v>
      </c>
      <c r="AD44" s="24">
        <v>58393</v>
      </c>
      <c r="AE44" s="24">
        <v>59525</v>
      </c>
      <c r="AF44" s="19">
        <v>0.49520005429999997</v>
      </c>
      <c r="AG44" s="63">
        <f t="shared" si="16"/>
        <v>0.49519999999999997</v>
      </c>
      <c r="AH44" s="64">
        <v>0.50479994569999997</v>
      </c>
      <c r="AI44" s="64">
        <f t="shared" si="17"/>
        <v>0.50480000000000003</v>
      </c>
    </row>
    <row r="45" spans="1:35" x14ac:dyDescent="0.2">
      <c r="A45" s="14">
        <v>45597</v>
      </c>
      <c r="B45" s="15" t="s">
        <v>30</v>
      </c>
      <c r="C45" s="16">
        <v>114352</v>
      </c>
      <c r="D45" s="17">
        <f t="shared" si="5"/>
        <v>114352</v>
      </c>
      <c r="E45" s="17">
        <v>19650</v>
      </c>
      <c r="F45" s="19">
        <v>0.17180000000000001</v>
      </c>
      <c r="G45" s="61">
        <f t="shared" si="6"/>
        <v>0.17180000000000001</v>
      </c>
      <c r="H45" s="18">
        <v>0.2316</v>
      </c>
      <c r="I45" s="61">
        <f t="shared" si="7"/>
        <v>0.2316</v>
      </c>
      <c r="J45" s="18">
        <v>0.31759999999999999</v>
      </c>
      <c r="K45" s="61">
        <f t="shared" si="8"/>
        <v>0.31759999999999999</v>
      </c>
      <c r="L45" s="18">
        <v>0.20369999999999999</v>
      </c>
      <c r="M45" s="61">
        <f t="shared" si="9"/>
        <v>0.20369999999999999</v>
      </c>
      <c r="N45" s="20">
        <v>23353</v>
      </c>
      <c r="O45" s="21">
        <f t="shared" si="10"/>
        <v>23353</v>
      </c>
      <c r="P45" s="21">
        <v>5721</v>
      </c>
      <c r="Q45" s="21">
        <v>17632</v>
      </c>
      <c r="R45" s="20">
        <v>5408</v>
      </c>
      <c r="S45" s="21">
        <f t="shared" si="11"/>
        <v>5408</v>
      </c>
      <c r="T45" s="21">
        <v>1817</v>
      </c>
      <c r="U45" s="21">
        <v>3591</v>
      </c>
      <c r="V45" s="26">
        <f t="shared" si="18"/>
        <v>21.144970414201183</v>
      </c>
      <c r="W45" s="65">
        <f t="shared" si="12"/>
        <v>21.144970414201183</v>
      </c>
      <c r="X45" s="27">
        <f t="shared" si="19"/>
        <v>5408</v>
      </c>
      <c r="Y45" s="67">
        <f t="shared" si="13"/>
        <v>5408</v>
      </c>
      <c r="Z45" s="27">
        <f t="shared" si="20"/>
        <v>1</v>
      </c>
      <c r="AA45" s="67">
        <f t="shared" si="14"/>
        <v>1</v>
      </c>
      <c r="AB45" s="28">
        <f t="shared" si="21"/>
        <v>0.2316</v>
      </c>
      <c r="AC45" s="68">
        <f t="shared" si="15"/>
        <v>0.2316</v>
      </c>
      <c r="AD45" s="24">
        <v>59120</v>
      </c>
      <c r="AE45" s="24">
        <v>55232</v>
      </c>
      <c r="AF45" s="19">
        <v>0.51700013990000004</v>
      </c>
      <c r="AG45" s="63">
        <f t="shared" si="16"/>
        <v>0.51700000000000002</v>
      </c>
      <c r="AH45" s="64">
        <v>0.48299986009999996</v>
      </c>
      <c r="AI45" s="64">
        <f t="shared" si="17"/>
        <v>0.48299999999999998</v>
      </c>
    </row>
    <row r="46" spans="1:35" x14ac:dyDescent="0.2">
      <c r="A46" s="14">
        <v>45627</v>
      </c>
      <c r="B46" s="15" t="s">
        <v>30</v>
      </c>
      <c r="C46" s="16">
        <v>142328</v>
      </c>
      <c r="D46" s="17">
        <f t="shared" si="5"/>
        <v>142328</v>
      </c>
      <c r="E46" s="17">
        <v>30277</v>
      </c>
      <c r="F46" s="19">
        <v>0.2127</v>
      </c>
      <c r="G46" s="61">
        <f t="shared" si="6"/>
        <v>0.2127</v>
      </c>
      <c r="H46" s="18">
        <v>0.2379</v>
      </c>
      <c r="I46" s="61">
        <f t="shared" si="7"/>
        <v>0.2379</v>
      </c>
      <c r="J46" s="18">
        <v>0.32140000000000002</v>
      </c>
      <c r="K46" s="61">
        <f t="shared" si="8"/>
        <v>0.32140000000000002</v>
      </c>
      <c r="L46" s="18">
        <v>0.18790000000000001</v>
      </c>
      <c r="M46" s="61">
        <f t="shared" si="9"/>
        <v>0.18790000000000001</v>
      </c>
      <c r="N46" s="20">
        <v>26649</v>
      </c>
      <c r="O46" s="21">
        <f t="shared" si="10"/>
        <v>26649</v>
      </c>
      <c r="P46" s="21">
        <v>9971</v>
      </c>
      <c r="Q46" s="21">
        <v>16678</v>
      </c>
      <c r="R46" s="20">
        <v>6339</v>
      </c>
      <c r="S46" s="21">
        <f t="shared" si="11"/>
        <v>6339</v>
      </c>
      <c r="T46" s="21">
        <v>3205</v>
      </c>
      <c r="U46" s="21">
        <v>3134</v>
      </c>
      <c r="V46" s="26">
        <f t="shared" si="18"/>
        <v>22.452752800126202</v>
      </c>
      <c r="W46" s="65">
        <f t="shared" si="12"/>
        <v>22.452752800126202</v>
      </c>
      <c r="X46" s="27">
        <f t="shared" si="19"/>
        <v>6339</v>
      </c>
      <c r="Y46" s="67">
        <f t="shared" si="13"/>
        <v>6339</v>
      </c>
      <c r="Z46" s="27">
        <f t="shared" si="20"/>
        <v>1</v>
      </c>
      <c r="AA46" s="67">
        <f t="shared" si="14"/>
        <v>1</v>
      </c>
      <c r="AB46" s="28">
        <f t="shared" si="21"/>
        <v>0.2379</v>
      </c>
      <c r="AC46" s="68">
        <f t="shared" si="15"/>
        <v>0.2379</v>
      </c>
      <c r="AD46" s="24">
        <v>78274</v>
      </c>
      <c r="AE46" s="24">
        <v>64054</v>
      </c>
      <c r="AF46" s="19">
        <v>0.54995503339999996</v>
      </c>
      <c r="AG46" s="63">
        <f t="shared" si="16"/>
        <v>0.55000000000000004</v>
      </c>
      <c r="AH46" s="64">
        <v>0.45004496659999998</v>
      </c>
      <c r="AI46" s="64">
        <f t="shared" si="17"/>
        <v>0.45</v>
      </c>
    </row>
    <row r="47" spans="1:35" x14ac:dyDescent="0.2">
      <c r="A47" s="14">
        <v>45658</v>
      </c>
      <c r="B47" s="15" t="s">
        <v>30</v>
      </c>
      <c r="C47" s="16">
        <v>190536</v>
      </c>
      <c r="D47" s="17">
        <f t="shared" si="5"/>
        <v>190536</v>
      </c>
      <c r="E47" s="17">
        <v>41162</v>
      </c>
      <c r="F47" s="19">
        <v>0.21600000000000003</v>
      </c>
      <c r="G47" s="61">
        <f t="shared" si="6"/>
        <v>0.216</v>
      </c>
      <c r="H47" s="18">
        <v>0.2324</v>
      </c>
      <c r="I47" s="61">
        <f t="shared" si="7"/>
        <v>0.2324</v>
      </c>
      <c r="J47" s="18">
        <v>0.3216</v>
      </c>
      <c r="K47" s="61">
        <f t="shared" si="8"/>
        <v>0.3216</v>
      </c>
      <c r="L47" s="18">
        <v>0.16039999999999999</v>
      </c>
      <c r="M47" s="61">
        <f t="shared" si="9"/>
        <v>0.16039999999999999</v>
      </c>
      <c r="N47" s="20">
        <v>34752</v>
      </c>
      <c r="O47" s="21">
        <f t="shared" si="10"/>
        <v>34752</v>
      </c>
      <c r="P47" s="21">
        <v>15508</v>
      </c>
      <c r="Q47" s="21">
        <v>19244</v>
      </c>
      <c r="R47" s="20">
        <v>8075</v>
      </c>
      <c r="S47" s="21">
        <f t="shared" si="11"/>
        <v>8075</v>
      </c>
      <c r="T47" s="21">
        <v>4988</v>
      </c>
      <c r="U47" s="21">
        <v>3087</v>
      </c>
      <c r="V47" s="26">
        <f t="shared" si="18"/>
        <v>23.59578947368421</v>
      </c>
      <c r="W47" s="65">
        <f t="shared" si="12"/>
        <v>23.59578947368421</v>
      </c>
      <c r="X47" s="27">
        <f t="shared" si="19"/>
        <v>8075</v>
      </c>
      <c r="Y47" s="67">
        <f t="shared" si="13"/>
        <v>8075</v>
      </c>
      <c r="Z47" s="27">
        <f t="shared" si="20"/>
        <v>1</v>
      </c>
      <c r="AA47" s="67">
        <f t="shared" si="14"/>
        <v>1</v>
      </c>
      <c r="AB47" s="28">
        <f t="shared" si="21"/>
        <v>0.2324</v>
      </c>
      <c r="AC47" s="68">
        <f t="shared" si="15"/>
        <v>0.2324</v>
      </c>
      <c r="AD47" s="24">
        <v>113715</v>
      </c>
      <c r="AE47" s="24">
        <v>76821</v>
      </c>
      <c r="AF47" s="19">
        <v>0.59681634969999997</v>
      </c>
      <c r="AG47" s="63">
        <f t="shared" si="16"/>
        <v>0.5968</v>
      </c>
      <c r="AH47" s="64">
        <v>0.40318365030000003</v>
      </c>
      <c r="AI47" s="64">
        <f t="shared" si="17"/>
        <v>0.4032</v>
      </c>
    </row>
    <row r="48" spans="1:35" x14ac:dyDescent="0.2">
      <c r="A48" s="14">
        <v>45689</v>
      </c>
      <c r="B48" s="15" t="s">
        <v>30</v>
      </c>
      <c r="C48" s="16">
        <v>158359</v>
      </c>
      <c r="D48" s="17">
        <f t="shared" si="5"/>
        <v>158359</v>
      </c>
      <c r="E48" s="17">
        <v>32689</v>
      </c>
      <c r="F48" s="19">
        <v>0.2064</v>
      </c>
      <c r="G48" s="61">
        <f t="shared" si="6"/>
        <v>0.2064</v>
      </c>
      <c r="H48" s="18">
        <v>0.2505</v>
      </c>
      <c r="I48" s="61">
        <f t="shared" si="7"/>
        <v>0.2505</v>
      </c>
      <c r="J48" s="18">
        <v>0.31169999999999998</v>
      </c>
      <c r="K48" s="61">
        <f t="shared" si="8"/>
        <v>0.31169999999999998</v>
      </c>
      <c r="L48" s="18">
        <v>0.19600000000000001</v>
      </c>
      <c r="M48" s="61">
        <f t="shared" si="9"/>
        <v>0.19600000000000001</v>
      </c>
      <c r="N48" s="20">
        <v>27352</v>
      </c>
      <c r="O48" s="21">
        <f t="shared" si="10"/>
        <v>27352</v>
      </c>
      <c r="P48" s="21">
        <v>12893</v>
      </c>
      <c r="Q48" s="21">
        <v>14459</v>
      </c>
      <c r="R48" s="20">
        <v>6853</v>
      </c>
      <c r="S48" s="21">
        <f t="shared" si="11"/>
        <v>6853</v>
      </c>
      <c r="T48" s="21">
        <v>4019</v>
      </c>
      <c r="U48" s="21">
        <v>2834</v>
      </c>
      <c r="V48" s="26">
        <f t="shared" si="18"/>
        <v>23.107981905734714</v>
      </c>
      <c r="W48" s="65">
        <f t="shared" si="12"/>
        <v>23.107981905734714</v>
      </c>
      <c r="X48" s="27">
        <f t="shared" si="19"/>
        <v>6853</v>
      </c>
      <c r="Y48" s="67">
        <f t="shared" si="13"/>
        <v>6853</v>
      </c>
      <c r="Z48" s="27">
        <f t="shared" si="20"/>
        <v>1</v>
      </c>
      <c r="AA48" s="67">
        <f t="shared" si="14"/>
        <v>1</v>
      </c>
      <c r="AB48" s="28">
        <f t="shared" si="21"/>
        <v>0.2505</v>
      </c>
      <c r="AC48" s="68">
        <f t="shared" si="15"/>
        <v>0.2505</v>
      </c>
      <c r="AD48" s="24">
        <v>88216</v>
      </c>
      <c r="AE48" s="24">
        <v>70143</v>
      </c>
      <c r="AF48" s="19">
        <v>0.55706338129999999</v>
      </c>
      <c r="AG48" s="63">
        <f t="shared" si="16"/>
        <v>0.55710000000000004</v>
      </c>
      <c r="AH48" s="64">
        <v>0.44293661870000001</v>
      </c>
      <c r="AI48" s="64">
        <f t="shared" si="17"/>
        <v>0.44290000000000002</v>
      </c>
    </row>
    <row r="49" spans="1:35" x14ac:dyDescent="0.2">
      <c r="A49" s="14">
        <v>45717</v>
      </c>
      <c r="B49" s="15" t="s">
        <v>30</v>
      </c>
      <c r="C49" s="16">
        <v>141353</v>
      </c>
      <c r="D49" s="17">
        <f t="shared" si="5"/>
        <v>141353</v>
      </c>
      <c r="E49" s="17">
        <v>44004</v>
      </c>
      <c r="F49" s="19">
        <v>0.31129999999999997</v>
      </c>
      <c r="G49" s="61">
        <f t="shared" si="6"/>
        <v>0.31130000000000002</v>
      </c>
      <c r="H49" s="18">
        <v>0.26079999999999998</v>
      </c>
      <c r="I49" s="61">
        <f t="shared" si="7"/>
        <v>0.26079999999999998</v>
      </c>
      <c r="J49" s="18">
        <v>0.41260000000000002</v>
      </c>
      <c r="K49" s="61">
        <f t="shared" si="8"/>
        <v>0.41260000000000002</v>
      </c>
      <c r="L49" s="18">
        <v>0.24629999999999999</v>
      </c>
      <c r="M49" s="61">
        <f t="shared" si="9"/>
        <v>0.24629999999999999</v>
      </c>
      <c r="N49" s="20">
        <v>23927</v>
      </c>
      <c r="O49" s="21">
        <f t="shared" si="10"/>
        <v>23927</v>
      </c>
      <c r="P49" s="21">
        <v>2082</v>
      </c>
      <c r="Q49" s="21">
        <v>21845</v>
      </c>
      <c r="R49" s="20">
        <v>6239</v>
      </c>
      <c r="S49" s="21">
        <f t="shared" si="11"/>
        <v>6239</v>
      </c>
      <c r="T49" s="15">
        <v>859</v>
      </c>
      <c r="U49" s="21">
        <v>5380</v>
      </c>
      <c r="V49" s="26">
        <f t="shared" si="18"/>
        <v>22.656355185125822</v>
      </c>
      <c r="W49" s="65">
        <f t="shared" si="12"/>
        <v>22.656355185125822</v>
      </c>
      <c r="X49" s="27">
        <f t="shared" si="19"/>
        <v>6239</v>
      </c>
      <c r="Y49" s="67">
        <f t="shared" si="13"/>
        <v>6239</v>
      </c>
      <c r="Z49" s="27">
        <f t="shared" si="20"/>
        <v>1</v>
      </c>
      <c r="AA49" s="67">
        <f t="shared" si="14"/>
        <v>1</v>
      </c>
      <c r="AB49" s="28">
        <f t="shared" si="21"/>
        <v>0.26079999999999998</v>
      </c>
      <c r="AC49" s="68">
        <f t="shared" si="15"/>
        <v>0.26079999999999998</v>
      </c>
      <c r="AD49" s="24">
        <v>60337</v>
      </c>
      <c r="AE49" s="24">
        <v>81016</v>
      </c>
      <c r="AF49" s="19">
        <v>0.42685333880000004</v>
      </c>
      <c r="AG49" s="63">
        <f t="shared" si="16"/>
        <v>0.4269</v>
      </c>
      <c r="AH49" s="64">
        <v>0.57314666120000002</v>
      </c>
      <c r="AI49" s="64">
        <f t="shared" si="17"/>
        <v>0.57310000000000005</v>
      </c>
    </row>
    <row r="50" spans="1:35" x14ac:dyDescent="0.2">
      <c r="A50" s="14">
        <v>45748</v>
      </c>
      <c r="B50" s="15" t="s">
        <v>30</v>
      </c>
      <c r="C50" s="16">
        <v>121332</v>
      </c>
      <c r="D50" s="17">
        <f t="shared" si="5"/>
        <v>121332</v>
      </c>
      <c r="E50" s="17">
        <v>26611</v>
      </c>
      <c r="F50" s="19">
        <v>0.21929999999999999</v>
      </c>
      <c r="G50" s="61">
        <f t="shared" si="6"/>
        <v>0.21929999999999999</v>
      </c>
      <c r="H50" s="18">
        <v>0.29089999999999999</v>
      </c>
      <c r="I50" s="61">
        <f t="shared" si="7"/>
        <v>0.29089999999999999</v>
      </c>
      <c r="J50" s="18">
        <v>0.34320000000000001</v>
      </c>
      <c r="K50" s="61">
        <f t="shared" si="8"/>
        <v>0.34320000000000001</v>
      </c>
      <c r="L50" s="18">
        <v>0.25259999999999999</v>
      </c>
      <c r="M50" s="61">
        <f t="shared" si="9"/>
        <v>0.25259999999999999</v>
      </c>
      <c r="N50" s="20">
        <v>18474</v>
      </c>
      <c r="O50" s="21">
        <f t="shared" si="10"/>
        <v>18474</v>
      </c>
      <c r="P50" s="21">
        <v>7817</v>
      </c>
      <c r="Q50" s="21">
        <v>10657</v>
      </c>
      <c r="R50" s="20">
        <v>5375</v>
      </c>
      <c r="S50" s="21">
        <f t="shared" si="11"/>
        <v>5375</v>
      </c>
      <c r="T50" s="21">
        <v>2683</v>
      </c>
      <c r="U50" s="21">
        <v>2692</v>
      </c>
      <c r="V50" s="26">
        <f t="shared" si="18"/>
        <v>22.573395348837209</v>
      </c>
      <c r="W50" s="65">
        <f t="shared" si="12"/>
        <v>22.573395348837209</v>
      </c>
      <c r="X50" s="27">
        <f t="shared" si="19"/>
        <v>5375</v>
      </c>
      <c r="Y50" s="67">
        <f t="shared" si="13"/>
        <v>5375</v>
      </c>
      <c r="Z50" s="27">
        <f t="shared" si="20"/>
        <v>1</v>
      </c>
      <c r="AA50" s="67">
        <f t="shared" si="14"/>
        <v>1</v>
      </c>
      <c r="AB50" s="28">
        <f t="shared" si="21"/>
        <v>0.29089999999999999</v>
      </c>
      <c r="AC50" s="68">
        <f t="shared" si="15"/>
        <v>0.29089999999999999</v>
      </c>
      <c r="AD50" s="24">
        <v>48428</v>
      </c>
      <c r="AE50" s="24">
        <v>72904</v>
      </c>
      <c r="AF50" s="19">
        <v>0.39913625420000004</v>
      </c>
      <c r="AG50" s="63">
        <f t="shared" si="16"/>
        <v>0.39910000000000001</v>
      </c>
      <c r="AH50" s="64">
        <v>0.60086374580000002</v>
      </c>
      <c r="AI50" s="64">
        <f t="shared" si="17"/>
        <v>0.60089999999999999</v>
      </c>
    </row>
    <row r="51" spans="1:35" x14ac:dyDescent="0.2">
      <c r="A51" s="14">
        <v>45778</v>
      </c>
      <c r="B51" s="15" t="s">
        <v>30</v>
      </c>
      <c r="C51" s="16">
        <v>103973</v>
      </c>
      <c r="D51" s="17">
        <f t="shared" si="5"/>
        <v>103973</v>
      </c>
      <c r="E51" s="17">
        <v>24585</v>
      </c>
      <c r="F51" s="19">
        <v>0.23649999999999999</v>
      </c>
      <c r="G51" s="61">
        <f t="shared" si="6"/>
        <v>0.23649999999999999</v>
      </c>
      <c r="H51" s="18">
        <v>0.31040000000000001</v>
      </c>
      <c r="I51" s="61">
        <f t="shared" si="7"/>
        <v>0.31040000000000001</v>
      </c>
      <c r="J51" s="18">
        <v>0.31290000000000001</v>
      </c>
      <c r="K51" s="61">
        <f t="shared" si="8"/>
        <v>0.31290000000000001</v>
      </c>
      <c r="L51" s="18">
        <v>0.30890000000000001</v>
      </c>
      <c r="M51" s="61">
        <f t="shared" si="9"/>
        <v>0.30890000000000001</v>
      </c>
      <c r="N51" s="20">
        <v>14693</v>
      </c>
      <c r="O51" s="21">
        <f t="shared" si="10"/>
        <v>14693</v>
      </c>
      <c r="P51" s="21">
        <v>5408</v>
      </c>
      <c r="Q51" s="21">
        <v>9285</v>
      </c>
      <c r="R51" s="20">
        <v>4560</v>
      </c>
      <c r="S51" s="21">
        <f t="shared" si="11"/>
        <v>4560</v>
      </c>
      <c r="T51" s="21">
        <v>1692</v>
      </c>
      <c r="U51" s="21">
        <v>2868</v>
      </c>
      <c r="V51" s="26">
        <f t="shared" si="18"/>
        <v>22.801096491228069</v>
      </c>
      <c r="W51" s="65">
        <f t="shared" si="12"/>
        <v>22.801096491228069</v>
      </c>
      <c r="X51" s="27">
        <f t="shared" si="19"/>
        <v>4560</v>
      </c>
      <c r="Y51" s="67">
        <f t="shared" si="13"/>
        <v>4560</v>
      </c>
      <c r="Z51" s="27">
        <f t="shared" si="20"/>
        <v>1</v>
      </c>
      <c r="AA51" s="67">
        <f t="shared" si="14"/>
        <v>1</v>
      </c>
      <c r="AB51" s="28">
        <f t="shared" si="21"/>
        <v>0.31040000000000001</v>
      </c>
      <c r="AC51" s="68">
        <f t="shared" si="15"/>
        <v>0.31040000000000001</v>
      </c>
      <c r="AD51" s="24">
        <v>34315</v>
      </c>
      <c r="AE51" s="24">
        <v>69658</v>
      </c>
      <c r="AF51" s="19">
        <v>0.33003760589999998</v>
      </c>
      <c r="AG51" s="63">
        <f t="shared" si="16"/>
        <v>0.33</v>
      </c>
      <c r="AH51" s="64">
        <v>0.66996239410000002</v>
      </c>
      <c r="AI51" s="64">
        <f t="shared" si="17"/>
        <v>0.67</v>
      </c>
    </row>
    <row r="52" spans="1:35" x14ac:dyDescent="0.2">
      <c r="A52" s="14">
        <v>45809</v>
      </c>
      <c r="B52" s="15" t="s">
        <v>30</v>
      </c>
      <c r="C52" s="16">
        <v>100459</v>
      </c>
      <c r="D52" s="17">
        <f t="shared" si="5"/>
        <v>100459</v>
      </c>
      <c r="E52" s="17">
        <v>19635</v>
      </c>
      <c r="F52" s="19">
        <v>0.19550000000000001</v>
      </c>
      <c r="G52" s="61">
        <f t="shared" si="6"/>
        <v>0.19550000000000001</v>
      </c>
      <c r="H52" s="18">
        <v>0.35680000000000001</v>
      </c>
      <c r="I52" s="61">
        <f t="shared" si="7"/>
        <v>0.35680000000000001</v>
      </c>
      <c r="J52" s="18">
        <v>0.3241</v>
      </c>
      <c r="K52" s="61">
        <f t="shared" si="8"/>
        <v>0.3241</v>
      </c>
      <c r="L52" s="18">
        <v>0.38940000000000002</v>
      </c>
      <c r="M52" s="61">
        <f t="shared" si="9"/>
        <v>0.38940000000000002</v>
      </c>
      <c r="N52" s="20">
        <v>12252</v>
      </c>
      <c r="O52" s="21">
        <f t="shared" si="10"/>
        <v>12252</v>
      </c>
      <c r="P52" s="21">
        <v>6112</v>
      </c>
      <c r="Q52" s="21">
        <v>6140</v>
      </c>
      <c r="R52" s="20">
        <v>4372</v>
      </c>
      <c r="S52" s="21">
        <f t="shared" si="11"/>
        <v>4372</v>
      </c>
      <c r="T52" s="21">
        <v>1981</v>
      </c>
      <c r="U52" s="21">
        <v>2391</v>
      </c>
      <c r="V52" s="26">
        <f t="shared" si="18"/>
        <v>22.977813357731016</v>
      </c>
      <c r="W52" s="65">
        <f t="shared" si="12"/>
        <v>22.977813357731016</v>
      </c>
      <c r="X52" s="27">
        <f t="shared" si="19"/>
        <v>4372</v>
      </c>
      <c r="Y52" s="67">
        <f t="shared" si="13"/>
        <v>4372</v>
      </c>
      <c r="Z52" s="27">
        <f t="shared" si="20"/>
        <v>1</v>
      </c>
      <c r="AA52" s="67">
        <f t="shared" si="14"/>
        <v>1</v>
      </c>
      <c r="AB52" s="28">
        <f t="shared" si="21"/>
        <v>0.35680000000000001</v>
      </c>
      <c r="AC52" s="68">
        <f t="shared" si="15"/>
        <v>0.35680000000000001</v>
      </c>
      <c r="AD52" s="24">
        <v>33845</v>
      </c>
      <c r="AE52" s="24">
        <v>66614</v>
      </c>
      <c r="AF52" s="19">
        <v>0.3369036124</v>
      </c>
      <c r="AG52" s="63">
        <f t="shared" si="16"/>
        <v>0.33689999999999998</v>
      </c>
      <c r="AH52" s="64">
        <v>0.6630963876</v>
      </c>
      <c r="AI52" s="64">
        <f t="shared" si="17"/>
        <v>0.66310000000000002</v>
      </c>
    </row>
    <row r="53" spans="1:35" x14ac:dyDescent="0.2">
      <c r="A53" s="14">
        <v>45839</v>
      </c>
      <c r="B53" s="15" t="s">
        <v>30</v>
      </c>
      <c r="C53" s="16">
        <v>141728</v>
      </c>
      <c r="D53" s="17">
        <f t="shared" si="5"/>
        <v>141728</v>
      </c>
      <c r="E53" s="17">
        <v>29887</v>
      </c>
      <c r="F53" s="19">
        <v>0.2109</v>
      </c>
      <c r="G53" s="61">
        <f t="shared" si="6"/>
        <v>0.2109</v>
      </c>
      <c r="H53" s="18">
        <v>0.36120000000000002</v>
      </c>
      <c r="I53" s="61">
        <f t="shared" si="7"/>
        <v>0.36120000000000002</v>
      </c>
      <c r="J53" s="18">
        <v>0.2959</v>
      </c>
      <c r="K53" s="61">
        <f t="shared" si="8"/>
        <v>0.2959</v>
      </c>
      <c r="L53" s="18">
        <v>0.38290000000000002</v>
      </c>
      <c r="M53" s="61">
        <f t="shared" si="9"/>
        <v>0.38290000000000002</v>
      </c>
      <c r="N53" s="20">
        <v>19326</v>
      </c>
      <c r="O53" s="21">
        <f t="shared" si="10"/>
        <v>19326</v>
      </c>
      <c r="P53" s="21">
        <v>4833</v>
      </c>
      <c r="Q53" s="21">
        <v>14493</v>
      </c>
      <c r="R53" s="20">
        <v>6980</v>
      </c>
      <c r="S53" s="21">
        <f t="shared" si="11"/>
        <v>6980</v>
      </c>
      <c r="T53" s="21">
        <v>1430</v>
      </c>
      <c r="U53" s="21">
        <v>5550</v>
      </c>
      <c r="V53" s="26">
        <f t="shared" si="18"/>
        <v>20.304871060171919</v>
      </c>
      <c r="W53" s="65">
        <f t="shared" si="12"/>
        <v>20.304871060171919</v>
      </c>
      <c r="X53" s="27">
        <f t="shared" si="19"/>
        <v>6980</v>
      </c>
      <c r="Y53" s="67">
        <f t="shared" si="13"/>
        <v>6980</v>
      </c>
      <c r="Z53" s="27">
        <f t="shared" si="20"/>
        <v>1</v>
      </c>
      <c r="AA53" s="67">
        <f t="shared" si="14"/>
        <v>1</v>
      </c>
      <c r="AB53" s="28">
        <f t="shared" si="21"/>
        <v>0.36120000000000002</v>
      </c>
      <c r="AC53" s="68">
        <f t="shared" si="15"/>
        <v>0.36120000000000002</v>
      </c>
      <c r="AD53" s="24">
        <v>44249</v>
      </c>
      <c r="AE53" s="24">
        <v>97479</v>
      </c>
      <c r="AF53" s="19">
        <v>0.31221071350000001</v>
      </c>
      <c r="AG53" s="63">
        <f t="shared" si="16"/>
        <v>0.31219999999999998</v>
      </c>
      <c r="AH53" s="64">
        <v>0.68778928649999993</v>
      </c>
      <c r="AI53" s="64">
        <f t="shared" si="17"/>
        <v>0.68779999999999997</v>
      </c>
    </row>
    <row r="54" spans="1:35" x14ac:dyDescent="0.2">
      <c r="A54" s="29">
        <v>45870</v>
      </c>
      <c r="B54" s="30" t="s">
        <v>30</v>
      </c>
      <c r="C54" s="31">
        <v>115497</v>
      </c>
      <c r="D54" s="17">
        <f t="shared" si="5"/>
        <v>115497</v>
      </c>
      <c r="E54" s="32">
        <v>23860</v>
      </c>
      <c r="F54" s="33">
        <v>0.20660000000000001</v>
      </c>
      <c r="G54" s="61">
        <f t="shared" si="6"/>
        <v>0.20660000000000001</v>
      </c>
      <c r="H54" s="34">
        <v>0.37480000000000002</v>
      </c>
      <c r="I54" s="61">
        <f t="shared" si="7"/>
        <v>0.37480000000000002</v>
      </c>
      <c r="J54" s="34">
        <v>0.34939999999999999</v>
      </c>
      <c r="K54" s="61">
        <f t="shared" si="8"/>
        <v>0.34939999999999999</v>
      </c>
      <c r="L54" s="34">
        <v>0.3896</v>
      </c>
      <c r="M54" s="61">
        <f t="shared" si="9"/>
        <v>0.3896</v>
      </c>
      <c r="N54" s="35">
        <v>14604</v>
      </c>
      <c r="O54" s="21">
        <f t="shared" si="10"/>
        <v>14604</v>
      </c>
      <c r="P54" s="36">
        <v>5406</v>
      </c>
      <c r="Q54" s="36">
        <v>9198</v>
      </c>
      <c r="R54" s="35">
        <v>5473</v>
      </c>
      <c r="S54" s="21">
        <f t="shared" si="11"/>
        <v>5473</v>
      </c>
      <c r="T54" s="36">
        <v>1889</v>
      </c>
      <c r="U54" s="36">
        <v>3584</v>
      </c>
      <c r="V54" s="26">
        <f t="shared" si="18"/>
        <v>21.103051342956331</v>
      </c>
      <c r="W54" s="65">
        <f t="shared" si="12"/>
        <v>21.103051342956331</v>
      </c>
      <c r="X54" s="27">
        <f t="shared" si="19"/>
        <v>5473</v>
      </c>
      <c r="Y54" s="67">
        <f t="shared" si="13"/>
        <v>5473</v>
      </c>
      <c r="Z54" s="27">
        <f t="shared" si="20"/>
        <v>1</v>
      </c>
      <c r="AA54" s="67">
        <f t="shared" si="14"/>
        <v>1</v>
      </c>
      <c r="AB54" s="28">
        <f t="shared" si="21"/>
        <v>0.37480000000000002</v>
      </c>
      <c r="AC54" s="68">
        <f t="shared" si="15"/>
        <v>0.37480000000000002</v>
      </c>
      <c r="AD54" s="40">
        <v>42524</v>
      </c>
      <c r="AE54" s="40">
        <v>72973</v>
      </c>
      <c r="AF54" s="33">
        <v>0.36818272340000002</v>
      </c>
      <c r="AG54" s="63">
        <f t="shared" si="16"/>
        <v>0.36820000000000003</v>
      </c>
      <c r="AH54" s="69">
        <v>0.63181727659999998</v>
      </c>
      <c r="AI54" s="64">
        <f t="shared" si="17"/>
        <v>0.63180000000000003</v>
      </c>
    </row>
  </sheetData>
  <mergeCells count="1">
    <mergeCell ref="D1:I7"/>
  </mergeCells>
  <conditionalFormatting sqref="D16:D54">
    <cfRule type="expression" dxfId="25" priority="1">
      <formula>(D16=C16)</formula>
    </cfRule>
    <cfRule type="expression" dxfId="24" priority="2">
      <formula>(D16&lt;&gt;C16)</formula>
    </cfRule>
  </conditionalFormatting>
  <conditionalFormatting sqref="G16:G54">
    <cfRule type="expression" dxfId="23" priority="3">
      <formula>(ROUND(G16, 2)=ROUND(F16, 2))</formula>
    </cfRule>
    <cfRule type="expression" dxfId="22" priority="4">
      <formula>(ROUND(G16, 2)&lt;&gt;ROUND(F16, 2))</formula>
    </cfRule>
  </conditionalFormatting>
  <conditionalFormatting sqref="I16:I54">
    <cfRule type="expression" dxfId="21" priority="5">
      <formula>(ROUND(I16, 2)=ROUND(H16, 2))</formula>
    </cfRule>
    <cfRule type="expression" dxfId="20" priority="16">
      <formula>(ROUND(I16, 2)&lt;&gt;ROUND(H16, 2))</formula>
    </cfRule>
  </conditionalFormatting>
  <conditionalFormatting sqref="K16:K54">
    <cfRule type="expression" dxfId="19" priority="6">
      <formula>(ROUND(K16, 2)=ROUND(J16, 2))</formula>
    </cfRule>
    <cfRule type="expression" dxfId="18" priority="17">
      <formula>(ROUND(K16, 2)&lt;&gt;ROUND(J16, 2))</formula>
    </cfRule>
  </conditionalFormatting>
  <conditionalFormatting sqref="M16:M54">
    <cfRule type="expression" dxfId="17" priority="7">
      <formula>(ROUND(M16, 2)=ROUND(L16, 2))</formula>
    </cfRule>
    <cfRule type="expression" dxfId="16" priority="18">
      <formula>(ROUND(M16, 2)&lt;&gt;ROUND(L16, 2))</formula>
    </cfRule>
  </conditionalFormatting>
  <conditionalFormatting sqref="O16:O54">
    <cfRule type="expression" dxfId="15" priority="8">
      <formula>(O16=N16)</formula>
    </cfRule>
    <cfRule type="expression" dxfId="14" priority="19">
      <formula>(O16&lt;&gt;N16)</formula>
    </cfRule>
  </conditionalFormatting>
  <conditionalFormatting sqref="S16:S54">
    <cfRule type="expression" dxfId="13" priority="9">
      <formula>(S16=R16)</formula>
    </cfRule>
    <cfRule type="expression" dxfId="12" priority="20">
      <formula>(S16&lt;&gt;R16)</formula>
    </cfRule>
  </conditionalFormatting>
  <conditionalFormatting sqref="W16:W54">
    <cfRule type="expression" dxfId="11" priority="10">
      <formula>(ROUND(W16, 2)=ROUND(V16, 2))</formula>
    </cfRule>
    <cfRule type="expression" dxfId="10" priority="21">
      <formula>(ROUND(W16, 2)&lt;&gt;ROUND(V16, 2))</formula>
    </cfRule>
  </conditionalFormatting>
  <conditionalFormatting sqref="Y16:Y54">
    <cfRule type="expression" dxfId="9" priority="11">
      <formula>(ROUND(Y16, 2)=ROUND(X16, 2))</formula>
    </cfRule>
    <cfRule type="expression" dxfId="8" priority="22">
      <formula>(ROUND(Y16, 2)&lt;&gt;ROUND(X16, 2))</formula>
    </cfRule>
  </conditionalFormatting>
  <conditionalFormatting sqref="AA16:AA54">
    <cfRule type="expression" dxfId="7" priority="12">
      <formula>(ROUND(AA16, 2)=ROUND(Z16, 2))</formula>
    </cfRule>
    <cfRule type="expression" dxfId="6" priority="23">
      <formula>(ROUND(AA16, 2)&lt;&gt;ROUND(Z16, 2))</formula>
    </cfRule>
  </conditionalFormatting>
  <conditionalFormatting sqref="AC16:AC54">
    <cfRule type="expression" dxfId="5" priority="13">
      <formula>(ROUND(AC16, 2)=ROUND(AB16, 2))</formula>
    </cfRule>
    <cfRule type="expression" dxfId="4" priority="24">
      <formula>(ROUND(AC16, 2)&lt;&gt;ROUND(AB16, 2))</formula>
    </cfRule>
  </conditionalFormatting>
  <conditionalFormatting sqref="AG16:AG54">
    <cfRule type="expression" dxfId="3" priority="14">
      <formula>(ROUND(AG16, 2)=ROUND(AF16, 2))</formula>
    </cfRule>
    <cfRule type="expression" dxfId="2" priority="25">
      <formula>(ROUND(AG16, 2)&lt;&gt;ROUND(AF16, 2))</formula>
    </cfRule>
  </conditionalFormatting>
  <conditionalFormatting sqref="AI16:AI54">
    <cfRule type="expression" dxfId="1" priority="15">
      <formula>(ROUND(AI16, 2)=ROUND(AH16, 2))</formula>
    </cfRule>
    <cfRule type="expression" dxfId="0" priority="26">
      <formula>(ROUND(AI16, 2)&lt;&gt;ROUND(AH16, 2))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G6"/>
  <sheetViews>
    <sheetView workbookViewId="0">
      <selection activeCell="A14" sqref="A14"/>
    </sheetView>
  </sheetViews>
  <sheetFormatPr defaultColWidth="12.5703125" defaultRowHeight="12.75" x14ac:dyDescent="0.2"/>
  <cols>
    <col min="1" max="1" width="177.85546875" bestFit="1" customWidth="1"/>
  </cols>
  <sheetData>
    <row r="2" spans="1:7" x14ac:dyDescent="0.2">
      <c r="A2" s="52" t="s">
        <v>69</v>
      </c>
    </row>
    <row r="4" spans="1:7" x14ac:dyDescent="0.2">
      <c r="A4" s="52" t="s">
        <v>70</v>
      </c>
    </row>
    <row r="6" spans="1:7" x14ac:dyDescent="0.2">
      <c r="A6" s="70" t="s">
        <v>71</v>
      </c>
      <c r="B6" s="70"/>
      <c r="C6" s="70"/>
      <c r="D6" s="70"/>
      <c r="E6" s="70"/>
      <c r="F6" s="70"/>
      <c r="G6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MASTER_Monthly</vt:lpstr>
      <vt:lpstr>REPORT_Pack</vt:lpstr>
      <vt:lpstr>DQ_Checks</vt:lpstr>
      <vt:lpstr>SQL_Bonus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Quiñones</cp:lastModifiedBy>
  <dcterms:modified xsi:type="dcterms:W3CDTF">2026-03-12T22:50:06Z</dcterms:modified>
</cp:coreProperties>
</file>